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CER\Desktop\MadhukarKasture\"/>
    </mc:Choice>
  </mc:AlternateContent>
  <xr:revisionPtr revIDLastSave="0" documentId="13_ncr:1_{ED561DA5-D063-488D-A8A8-642B80117F1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One_Sample_T_Test" sheetId="1" r:id="rId1"/>
    <sheet name="Two_Sample_T_Test" sheetId="2" r:id="rId2"/>
    <sheet name="Paired_T_Test" sheetId="3" r:id="rId3"/>
    <sheet name="F_Test" sheetId="4" r:id="rId4"/>
    <sheet name="ANOVA" sheetId="5" r:id="rId5"/>
    <sheet name="Chi_Squared_Te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6" l="1"/>
  <c r="J10" i="6"/>
  <c r="I10" i="6"/>
  <c r="H10" i="6"/>
  <c r="J9" i="6"/>
  <c r="I9" i="6"/>
  <c r="H9" i="6"/>
  <c r="D11" i="5"/>
  <c r="C11" i="5"/>
  <c r="B11" i="5"/>
  <c r="M18" i="4" l="1"/>
  <c r="L18" i="4"/>
  <c r="M17" i="4"/>
  <c r="L17" i="4"/>
  <c r="N2" i="4"/>
  <c r="O2" i="3"/>
  <c r="AF6" i="2"/>
  <c r="S6" i="2"/>
  <c r="L7" i="1" l="1"/>
</calcChain>
</file>

<file path=xl/sharedStrings.xml><?xml version="1.0" encoding="utf-8"?>
<sst xmlns="http://schemas.openxmlformats.org/spreadsheetml/2006/main" count="164" uniqueCount="92">
  <si>
    <t>Seedling No</t>
  </si>
  <si>
    <t>Height</t>
  </si>
  <si>
    <t>Protein</t>
  </si>
  <si>
    <t>Cereals</t>
  </si>
  <si>
    <t>Car No.</t>
  </si>
  <si>
    <t>Gas economy (Km/l)</t>
  </si>
  <si>
    <t>Radial Tyres  (X)</t>
  </si>
  <si>
    <t>Belted Tyres (Y)</t>
  </si>
  <si>
    <t>Pipe No</t>
  </si>
  <si>
    <t>Method I</t>
  </si>
  <si>
    <t>Method II</t>
  </si>
  <si>
    <t>Student</t>
  </si>
  <si>
    <t>Constant</t>
  </si>
  <si>
    <t>Random</t>
  </si>
  <si>
    <t>No Sound</t>
  </si>
  <si>
    <t>Gender</t>
  </si>
  <si>
    <t>Ice-cram Flavor </t>
  </si>
  <si>
    <t>Row  Total</t>
  </si>
  <si>
    <t>Chocklet</t>
  </si>
  <si>
    <t>Vanilla</t>
  </si>
  <si>
    <t>Strawberry</t>
  </si>
  <si>
    <t>Men</t>
  </si>
  <si>
    <t>Women</t>
  </si>
  <si>
    <t>Column Total </t>
  </si>
  <si>
    <t>Ho: Height=15.7 cm</t>
  </si>
  <si>
    <t>Vs</t>
  </si>
  <si>
    <t>H1: Height &lt; 15.7</t>
  </si>
  <si>
    <t>&lt;&lt;&lt;</t>
  </si>
  <si>
    <t>&lt;</t>
  </si>
  <si>
    <t>HO is Rejected</t>
  </si>
  <si>
    <t>t-Test: Two-Sample Assuming Equal Variances</t>
  </si>
  <si>
    <t>Variable 1</t>
  </si>
  <si>
    <t>Variable 2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</si>
  <si>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</si>
  <si>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</si>
  <si>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</si>
  <si>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</si>
  <si>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</si>
  <si>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</si>
  <si>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</si>
  <si>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</si>
  <si>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</si>
  <si>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</si>
  <si>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</si>
  <si>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&lt;&lt; </t>
  </si>
  <si>
    <t>HO:Performance in Verbal Score is Same</t>
  </si>
  <si>
    <t>H1: Performance in Verbal Score of Protien Group is better than that of Cereal Group</t>
  </si>
  <si>
    <t>Ho is Rejected</t>
  </si>
  <si>
    <t>Accept H1</t>
  </si>
  <si>
    <t>Ho: Performance in Science Score is Same</t>
  </si>
  <si>
    <t>H1: Performance in Science Score of Protien Group is better than that of Cereal Group</t>
  </si>
  <si>
    <t>H1 is Accepted</t>
  </si>
  <si>
    <t>Performance of Protein consumer students in Science is better than Cereals</t>
  </si>
  <si>
    <t>HO: There is NO difference in Gas Economy</t>
  </si>
  <si>
    <t>H1: Radial tyres gives better gas economy than Belted tyres</t>
  </si>
  <si>
    <t>Radial tyre gives better gas economy than belted tyres</t>
  </si>
  <si>
    <t>t-Test: Paired Two Sample for Means</t>
  </si>
  <si>
    <t>Pearson Correlation</t>
  </si>
  <si>
    <t>Ho: Varibility is same in pipes produced by Method I and Method II</t>
  </si>
  <si>
    <t>H1: Variability is different in Method I and Method II</t>
  </si>
  <si>
    <t>&gt;&gt;&gt;</t>
  </si>
  <si>
    <t>Ho is Accepted</t>
  </si>
  <si>
    <t>Both methods produce same variation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</si>
  <si>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</si>
  <si>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</si>
  <si>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</si>
  <si>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</si>
  <si>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</si>
  <si>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</si>
  <si>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</si>
  <si>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</si>
  <si>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</si>
  <si>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</si>
  <si>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</si>
  <si>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</si>
  <si>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</si>
  <si>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</si>
  <si>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</si>
  <si>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</si>
  <si>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H1: Avergae Performance of students in three sound environment is different</t>
  </si>
  <si>
    <t>Ho: Average Performance of students in three sound environment is same</t>
  </si>
  <si>
    <t>Ho is REJECTED</t>
  </si>
  <si>
    <t>Student performance is different in different sound environment</t>
  </si>
  <si>
    <t>Better</t>
  </si>
  <si>
    <t>Moderate</t>
  </si>
  <si>
    <t>Worst</t>
  </si>
  <si>
    <t>ACTUAL DATA</t>
  </si>
  <si>
    <t>EXPECTED DATA</t>
  </si>
  <si>
    <t>&lt;&lt;&lt;&lt;</t>
  </si>
  <si>
    <t>HO: Gender is NOT associated with Ice Cream flavour</t>
  </si>
  <si>
    <t>H1: Ice Cream flavour choice is Gender depedent</t>
  </si>
  <si>
    <t>H1 is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</si>
</sst>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FF"/>
      <name val="Times New Roman"/>
    </font>
    <font>
      <b/>
      <sz val="16"/>
      <color rgb="FFFF0000"/>
      <name val="Times New Roman"/>
    </font>
    <font>
      <b/>
      <sz val="22"/>
      <color rgb="FF7030A0"/>
      <name val="Times New Roman"/>
    </font>
    <font>
      <b/>
      <sz val="14"/>
      <color rgb="FFFF0000"/>
      <name val="Times New Roman"/>
    </font>
    <font>
      <b/>
      <sz val="12"/>
      <name val="Times New Roman"/>
    </font>
    <font>
      <b/>
      <sz val="12"/>
      <color rgb="FFFF0000"/>
      <name val="Times New Roman"/>
    </font>
    <font>
      <b/>
      <sz val="12"/>
      <color rgb="FF7030A0"/>
      <name val="Times New Roman"/>
    </font>
    <font>
      <b/>
      <sz val="14"/>
      <color theme="1"/>
      <name val="Times New Roman"/>
      <charset val="134"/>
    </font>
    <font>
      <b/>
      <sz val="14"/>
      <color rgb="FF0000FF"/>
      <name val="Times New Roman"/>
    </font>
    <font>
      <b/>
      <sz val="12"/>
      <color rgb="FF660066"/>
      <name val="Times New Roman"/>
    </font>
    <font>
      <b/>
      <sz val="10"/>
      <color rgb="FF0000FF"/>
      <name val="Times New Roman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00CC"/>
      <name val="Times New Roman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1D41D5"/>
      <name val="Times New Roman"/>
      <family val="1"/>
    </font>
    <font>
      <b/>
      <sz val="16"/>
      <color rgb="FFC34D07"/>
      <name val="Times New Roman"/>
      <family val="1"/>
    </font>
    <font>
      <b/>
      <sz val="20"/>
      <color theme="1"/>
      <name val="Calibri"/>
      <family val="2"/>
      <scheme val="minor"/>
    </font>
    <font>
      <b/>
      <sz val="16"/>
      <color rgb="FF0000FF"/>
      <name val="Times New Roman"/>
      <family val="1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 readingOrder="1"/>
    </xf>
    <xf numFmtId="0" fontId="14" fillId="0" borderId="0" xfId="0" applyFont="1"/>
    <xf numFmtId="0" fontId="2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7" xfId="0" applyBorder="1"/>
    <xf numFmtId="0" fontId="21" fillId="0" borderId="8" xfId="0" applyFont="1" applyBorder="1" applyAlignment="1">
      <alignment horizontal="center"/>
    </xf>
    <xf numFmtId="0" fontId="16" fillId="0" borderId="0" xfId="0" applyFont="1"/>
    <xf numFmtId="0" fontId="20" fillId="0" borderId="0" xfId="0" applyFont="1"/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5" fillId="0" borderId="0" xfId="0" applyFont="1"/>
    <xf numFmtId="0" fontId="23" fillId="0" borderId="2" xfId="0" applyFont="1" applyBorder="1" applyAlignment="1">
      <alignment horizontal="center" wrapText="1" readingOrder="1"/>
    </xf>
    <xf numFmtId="0" fontId="23" fillId="0" borderId="2" xfId="0" applyFont="1" applyBorder="1" applyAlignment="1">
      <alignment horizontal="center" vertical="center" wrapText="1" readingOrder="1"/>
    </xf>
    <xf numFmtId="0" fontId="19" fillId="0" borderId="0" xfId="0" applyFont="1"/>
    <xf numFmtId="0" fontId="6" fillId="0" borderId="2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" fillId="0" borderId="0" xfId="0" applyFont="1"/>
    <xf numFmtId="0" fontId="17" fillId="0" borderId="0" xfId="0" applyFont="1"/>
    <xf numFmtId="0" fontId="24" fillId="0" borderId="0" xfId="0" applyFont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6" fillId="0" borderId="0" xfId="0" applyFont="1" applyAlignment="1"/>
    <xf numFmtId="2" fontId="16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2" xfId="0" applyFont="1" applyBorder="1" applyAlignment="1">
      <alignment horizontal="center" vertical="center" wrapText="1" readingOrder="1"/>
    </xf>
    <xf numFmtId="0" fontId="29" fillId="0" borderId="4" xfId="0" applyFont="1" applyBorder="1" applyAlignment="1">
      <alignment horizontal="center" vertical="center" wrapText="1" readingOrder="1"/>
    </xf>
    <xf numFmtId="0" fontId="28" fillId="0" borderId="5" xfId="0" applyFont="1" applyBorder="1" applyAlignment="1">
      <alignment horizontal="center" vertical="center" wrapText="1" readingOrder="1"/>
    </xf>
    <xf numFmtId="0" fontId="29" fillId="0" borderId="6" xfId="0" applyFont="1" applyBorder="1" applyAlignment="1">
      <alignment horizontal="center" vertical="center" wrapText="1" readingOrder="1"/>
    </xf>
    <xf numFmtId="0" fontId="27" fillId="0" borderId="10" xfId="0" applyFont="1" applyBorder="1" applyAlignment="1">
      <alignment horizontal="center" vertical="center" wrapText="1" readingOrder="1"/>
    </xf>
    <xf numFmtId="0" fontId="27" fillId="0" borderId="11" xfId="0" applyFont="1" applyBorder="1" applyAlignment="1">
      <alignment horizontal="center" vertical="center" wrapText="1" readingOrder="1"/>
    </xf>
    <xf numFmtId="0" fontId="26" fillId="0" borderId="9" xfId="0" applyFont="1" applyBorder="1" applyAlignment="1">
      <alignment horizontal="center" vertical="center"/>
    </xf>
    <xf numFmtId="0" fontId="0" fillId="0" borderId="0" xfId="0" applyFill="1" applyBorder="1" applyAlignment="1"/>
    <xf numFmtId="0" fontId="0" fillId="0" borderId="7" xfId="0" applyFill="1" applyBorder="1" applyAlignment="1"/>
    <xf numFmtId="0" fontId="21" fillId="0" borderId="8" xfId="0" applyFont="1" applyFill="1" applyBorder="1" applyAlignment="1">
      <alignment horizontal="center"/>
    </xf>
    <xf numFmtId="0" fontId="18" fillId="0" borderId="0" xfId="0" applyFont="1" applyFill="1" applyBorder="1" applyAlignment="1"/>
    <xf numFmtId="0" fontId="17" fillId="0" borderId="0" xfId="0" applyFont="1" applyAlignment="1"/>
    <xf numFmtId="0" fontId="17" fillId="0" borderId="0" xfId="0" applyFont="1" applyFill="1" applyBorder="1" applyAlignment="1"/>
    <xf numFmtId="0" fontId="17" fillId="0" borderId="0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/>
    </xf>
    <xf numFmtId="0" fontId="31" fillId="0" borderId="1" xfId="0" applyFont="1" applyBorder="1" applyAlignment="1">
      <alignment horizontal="center" vertical="center" wrapText="1" readingOrder="1"/>
    </xf>
    <xf numFmtId="0" fontId="31" fillId="0" borderId="2" xfId="0" applyFont="1" applyBorder="1" applyAlignment="1">
      <alignment horizontal="center" vertical="center" wrapText="1" readingOrder="1"/>
    </xf>
    <xf numFmtId="0" fontId="31" fillId="0" borderId="3" xfId="0" applyFont="1" applyBorder="1" applyAlignment="1">
      <alignment horizontal="center" vertical="center" wrapText="1" readingOrder="1"/>
    </xf>
    <xf numFmtId="0" fontId="31" fillId="0" borderId="2" xfId="0" applyFont="1" applyBorder="1" applyAlignment="1">
      <alignment horizontal="center" vertical="center" wrapText="1" readingOrder="1"/>
    </xf>
    <xf numFmtId="0" fontId="31" fillId="2" borderId="2" xfId="0" applyFont="1" applyFill="1" applyBorder="1" applyAlignment="1">
      <alignment horizontal="center" vertical="center" wrapText="1" readingOrder="1"/>
    </xf>
    <xf numFmtId="0" fontId="31" fillId="3" borderId="2" xfId="0" applyFont="1" applyFill="1" applyBorder="1" applyAlignment="1">
      <alignment horizontal="center" vertical="center" wrapText="1" readingOrder="1"/>
    </xf>
    <xf numFmtId="0" fontId="31" fillId="4" borderId="2" xfId="0" applyFont="1" applyFill="1" applyBorder="1" applyAlignment="1">
      <alignment horizontal="center" vertical="center" wrapText="1" readingOrder="1"/>
    </xf>
    <xf numFmtId="0" fontId="31" fillId="0" borderId="2" xfId="0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 wrapText="1" readingOrder="1"/>
    </xf>
    <xf numFmtId="0" fontId="22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41D5"/>
      <color rgb="FFC34D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17780</xdr:rowOff>
    </xdr:from>
    <xdr:to>
      <xdr:col>7</xdr:col>
      <xdr:colOff>19050</xdr:colOff>
      <xdr:row>15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 noChangeArrowheads="1"/>
        </xdr:cNvSpPr>
      </xdr:nvSpPr>
      <xdr:spPr bwMode="auto">
        <a:xfrm>
          <a:off x="9525" y="417830"/>
          <a:ext cx="4210050" cy="2582545"/>
        </a:xfrm>
        <a:prstGeom prst="rect">
          <a:avLst/>
        </a:prstGeom>
        <a:noFill/>
        <a:ln>
          <a:solidFill>
            <a:schemeClr val="tx1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1440" tIns="45720" rIns="91440" bIns="45720" numCol="1" anchor="ctr" anchorCtr="0" compatLnSpc="1"/>
        <a:lstStyle>
          <a:lvl1pPr algn="ctr" rtl="0" eaLnBrk="0" fontAlgn="base" hangingPunct="0">
            <a:spcBef>
              <a:spcPct val="0"/>
            </a:spcBef>
            <a:spcAft>
              <a:spcPct val="0"/>
            </a:spcAft>
            <a:defRPr sz="4400" kern="120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  <a:lvl2pPr algn="ctr" rtl="0" eaLnBrk="0" fontAlgn="base" hangingPunct="0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2pPr>
          <a:lvl3pPr algn="ctr" rtl="0" eaLnBrk="0" fontAlgn="base" hangingPunct="0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3pPr>
          <a:lvl4pPr algn="ctr" rtl="0" eaLnBrk="0" fontAlgn="base" hangingPunct="0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4pPr>
          <a:lvl5pPr algn="ctr" rtl="0" eaLnBrk="0" fontAlgn="base" hangingPunct="0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5pPr>
          <a:lvl6pPr marL="4572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6pPr>
          <a:lvl7pPr marL="9144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7pPr>
          <a:lvl8pPr marL="13716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8pPr>
          <a:lvl9pPr marL="18288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9pPr>
        </a:lstStyle>
        <a:p>
          <a:pPr algn="just" eaLnBrk="1" hangingPunct="1"/>
          <a:endParaRPr lang="en-US" altLang="en-US" sz="1600" b="1" dirty="0">
            <a:solidFill>
              <a:srgbClr val="FF00FF"/>
            </a:solidFill>
          </a:endParaRPr>
        </a:p>
        <a:p>
          <a:pPr algn="just" eaLnBrk="1" hangingPunct="1"/>
          <a:r>
            <a:rPr lang="en-US" altLang="en-US" sz="1600" b="1" dirty="0">
              <a:solidFill>
                <a:srgbClr val="FF00FF"/>
              </a:solidFill>
            </a:rPr>
            <a:t>Example :Situation I</a:t>
          </a:r>
          <a:br>
            <a:rPr lang="en-US" altLang="en-US" sz="1600" b="1" dirty="0">
              <a:solidFill>
                <a:srgbClr val="0000FF"/>
              </a:solidFill>
            </a:rPr>
          </a:br>
          <a:br>
            <a:rPr lang="en-US" altLang="en-US" sz="1600" b="1" dirty="0">
              <a:solidFill>
                <a:srgbClr val="0000FF"/>
              </a:solidFill>
            </a:rPr>
          </a:br>
          <a:r>
            <a:rPr lang="en-US" altLang="en-US" sz="1600" b="1" dirty="0">
              <a:solidFill>
                <a:srgbClr val="0000FF"/>
              </a:solidFill>
            </a:rPr>
            <a:t>A biologist was interested in determining whether sunflower seedling treated with an extract of </a:t>
          </a:r>
          <a:r>
            <a:rPr lang="en-US" altLang="en-US" sz="1600" b="1" i="1" dirty="0">
              <a:solidFill>
                <a:srgbClr val="FF00FF"/>
              </a:solidFill>
            </a:rPr>
            <a:t>Vinca minor</a:t>
          </a:r>
          <a:r>
            <a:rPr lang="en-US" altLang="en-US" sz="1600" b="1" dirty="0">
              <a:solidFill>
                <a:srgbClr val="0000FF"/>
              </a:solidFill>
            </a:rPr>
            <a:t>  roots resulted in a lower average height of sunflower seedlings than the </a:t>
          </a:r>
          <a:r>
            <a:rPr lang="en-US" altLang="en-US" sz="1600" b="1" dirty="0">
              <a:solidFill>
                <a:srgbClr val="FF00FF"/>
              </a:solidFill>
            </a:rPr>
            <a:t>standard height of 15.7 cm.</a:t>
          </a:r>
          <a:r>
            <a:rPr lang="en-US" altLang="en-US" sz="1600" b="1" dirty="0">
              <a:solidFill>
                <a:srgbClr val="0000FF"/>
              </a:solidFill>
            </a:rPr>
            <a:t> The Biologist treated a random sample of 33 seedlings with the extract and subsequently recorded the heights.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8</xdr:col>
      <xdr:colOff>19685</xdr:colOff>
      <xdr:row>7</xdr:row>
      <xdr:rowOff>142875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 noChangeArrowheads="1"/>
        </xdr:cNvSpPr>
      </xdr:nvSpPr>
      <xdr:spPr bwMode="auto">
        <a:xfrm>
          <a:off x="9525" y="200025"/>
          <a:ext cx="4886960" cy="1562100"/>
        </a:xfrm>
        <a:prstGeom prst="rect">
          <a:avLst/>
        </a:prstGeom>
        <a:noFill/>
        <a:ln>
          <a:solidFill>
            <a:schemeClr val="tx1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1440" tIns="45720" rIns="91440" bIns="45720" numCol="1" anchor="ctr" anchorCtr="0" compatLnSpc="1"/>
        <a:lstStyle>
          <a:lvl1pPr algn="ctr" rtl="0" eaLnBrk="0" fontAlgn="base" hangingPunct="0">
            <a:spcBef>
              <a:spcPct val="0"/>
            </a:spcBef>
            <a:spcAft>
              <a:spcPct val="0"/>
            </a:spcAft>
            <a:defRPr sz="4400" kern="120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  <a:lvl2pPr algn="ctr" rtl="0" eaLnBrk="0" fontAlgn="base" hangingPunct="0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2pPr>
          <a:lvl3pPr algn="ctr" rtl="0" eaLnBrk="0" fontAlgn="base" hangingPunct="0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3pPr>
          <a:lvl4pPr algn="ctr" rtl="0" eaLnBrk="0" fontAlgn="base" hangingPunct="0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4pPr>
          <a:lvl5pPr algn="ctr" rtl="0" eaLnBrk="0" fontAlgn="base" hangingPunct="0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5pPr>
          <a:lvl6pPr marL="4572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6pPr>
          <a:lvl7pPr marL="9144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7pPr>
          <a:lvl8pPr marL="13716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8pPr>
          <a:lvl9pPr marL="1828800" algn="ctr" rtl="0" fontAlgn="base">
            <a:spcBef>
              <a:spcPct val="0"/>
            </a:spcBef>
            <a:spcAft>
              <a:spcPct val="0"/>
            </a:spcAft>
            <a:defRPr sz="4400">
              <a:solidFill>
                <a:schemeClr val="tx2"/>
              </a:solidFill>
              <a:latin typeface="Arial" panose="020B0604020202020204" pitchFamily="7" charset="0"/>
            </a:defRPr>
          </a:lvl9pPr>
        </a:lstStyle>
        <a:p>
          <a:pPr eaLnBrk="1" hangingPunct="1"/>
          <a:r>
            <a:rPr lang="en-US" altLang="en-US" sz="1800" b="1">
              <a:solidFill>
                <a:srgbClr val="CC0000"/>
              </a:solidFill>
              <a:latin typeface="Times New Roman" panose="02020603050405020304" charset="0"/>
              <a:cs typeface="Times New Roman" panose="02020603050405020304" charset="0"/>
            </a:rPr>
            <a:t>Example : Situation I</a:t>
          </a:r>
          <a:r>
            <a:rPr lang="en-IN" altLang="en-US" sz="1800" b="1">
              <a:solidFill>
                <a:srgbClr val="CC0000"/>
              </a:solidFill>
              <a:latin typeface="Times New Roman" panose="02020603050405020304" charset="0"/>
              <a:cs typeface="Times New Roman" panose="02020603050405020304" charset="0"/>
            </a:rPr>
            <a:t>I</a:t>
          </a:r>
          <a:br>
            <a:rPr lang="en-US" altLang="en-US" sz="1800" b="1">
              <a:solidFill>
                <a:srgbClr val="CC0000"/>
              </a:solidFill>
              <a:latin typeface="Times New Roman" panose="02020603050405020304" charset="0"/>
              <a:cs typeface="Times New Roman" panose="02020603050405020304" charset="0"/>
            </a:rPr>
          </a:br>
          <a:r>
            <a:rPr lang="en-US" altLang="en-US" sz="1800" b="1">
              <a:solidFill>
                <a:srgbClr val="0000FF"/>
              </a:solidFill>
              <a:latin typeface="Times New Roman" panose="02020603050405020304" charset="0"/>
              <a:cs typeface="Times New Roman" panose="02020603050405020304" charset="0"/>
            </a:rPr>
            <a:t>Children who eat breakfast </a:t>
          </a:r>
          <a:r>
            <a:rPr lang="en-US" altLang="en-US" sz="1800" b="1">
              <a:solidFill>
                <a:srgbClr val="006600"/>
              </a:solidFill>
              <a:latin typeface="Times New Roman" panose="02020603050405020304" charset="0"/>
              <a:cs typeface="Times New Roman" panose="02020603050405020304" charset="0"/>
            </a:rPr>
            <a:t>high in protein</a:t>
          </a:r>
          <a:r>
            <a:rPr lang="en-US" altLang="en-US" sz="1800" b="1">
              <a:solidFill>
                <a:srgbClr val="0000FF"/>
              </a:solidFill>
              <a:latin typeface="Times New Roman" panose="02020603050405020304" charset="0"/>
              <a:cs typeface="Times New Roman" panose="02020603050405020304" charset="0"/>
            </a:rPr>
            <a:t> perform </a:t>
          </a:r>
          <a:r>
            <a:rPr lang="en-US" altLang="en-US" sz="1800" b="1">
              <a:solidFill>
                <a:srgbClr val="CC0000"/>
              </a:solidFill>
              <a:latin typeface="Times New Roman" panose="02020603050405020304" charset="0"/>
              <a:cs typeface="Times New Roman" panose="02020603050405020304" charset="0"/>
            </a:rPr>
            <a:t>academically better</a:t>
          </a:r>
          <a:r>
            <a:rPr lang="en-US" altLang="en-US" sz="1800" b="1">
              <a:solidFill>
                <a:srgbClr val="0000FF"/>
              </a:solidFill>
              <a:latin typeface="Times New Roman" panose="02020603050405020304" charset="0"/>
              <a:cs typeface="Times New Roman" panose="02020603050405020304" charset="0"/>
            </a:rPr>
            <a:t> in school than children who eat </a:t>
          </a:r>
          <a:r>
            <a:rPr lang="en-US" altLang="en-US" sz="1800" b="1">
              <a:solidFill>
                <a:srgbClr val="FF3300"/>
              </a:solidFill>
              <a:latin typeface="Times New Roman" panose="02020603050405020304" charset="0"/>
              <a:cs typeface="Times New Roman" panose="02020603050405020304" charset="0"/>
            </a:rPr>
            <a:t>cereals </a:t>
          </a:r>
          <a:r>
            <a:rPr lang="en-US" altLang="en-US" sz="1800" b="1">
              <a:solidFill>
                <a:srgbClr val="0000FF"/>
              </a:solidFill>
              <a:latin typeface="Times New Roman" panose="02020603050405020304" charset="0"/>
              <a:cs typeface="Times New Roman" panose="02020603050405020304" charset="0"/>
            </a:rPr>
            <a:t>for breakfast</a:t>
          </a:r>
        </a:p>
      </xdr:txBody>
    </xdr:sp>
    <xdr:clientData/>
  </xdr:twoCellAnchor>
  <xdr:twoCellAnchor>
    <xdr:from>
      <xdr:col>8</xdr:col>
      <xdr:colOff>190500</xdr:colOff>
      <xdr:row>0</xdr:row>
      <xdr:rowOff>9525</xdr:rowOff>
    </xdr:from>
    <xdr:to>
      <xdr:col>12</xdr:col>
      <xdr:colOff>86360</xdr:colOff>
      <xdr:row>1</xdr:row>
      <xdr:rowOff>142875</xdr:rowOff>
    </xdr:to>
    <xdr:sp macro="" textlink="">
      <xdr:nvSpPr>
        <xdr:cNvPr id="3" name="Text Box 119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067300" y="9525"/>
          <a:ext cx="2334260" cy="323850"/>
        </a:xfrm>
        <a:prstGeom prst="rect">
          <a:avLst/>
        </a:prstGeom>
        <a:noFill/>
        <a:ln w="9525">
          <a:solidFill>
            <a:schemeClr val="tx1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9pPr>
        </a:lstStyle>
        <a:p>
          <a:pPr algn="ctr" eaLnBrk="1" hangingPunct="1">
            <a:spcBef>
              <a:spcPct val="50000"/>
            </a:spcBef>
            <a:buFontTx/>
            <a:buNone/>
          </a:pPr>
          <a:r>
            <a:rPr lang="en-US" altLang="en-US" sz="1400" b="1">
              <a:solidFill>
                <a:srgbClr val="0000FF"/>
              </a:solidFill>
              <a:latin typeface="Times New Roman" panose="02020603050405020304" charset="0"/>
              <a:cs typeface="Times New Roman" panose="02020603050405020304" charset="0"/>
            </a:rPr>
            <a:t>Comparison of Verbal Score</a:t>
          </a:r>
        </a:p>
      </xdr:txBody>
    </xdr:sp>
    <xdr:clientData/>
  </xdr:twoCellAnchor>
  <xdr:twoCellAnchor>
    <xdr:from>
      <xdr:col>12</xdr:col>
      <xdr:colOff>498475</xdr:colOff>
      <xdr:row>0</xdr:row>
      <xdr:rowOff>9525</xdr:rowOff>
    </xdr:from>
    <xdr:to>
      <xdr:col>17</xdr:col>
      <xdr:colOff>22860</xdr:colOff>
      <xdr:row>1</xdr:row>
      <xdr:rowOff>142875</xdr:rowOff>
    </xdr:to>
    <xdr:sp macro="" textlink="">
      <xdr:nvSpPr>
        <xdr:cNvPr id="4" name="Text Box 119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>
        <a:xfrm>
          <a:off x="7813675" y="9525"/>
          <a:ext cx="2572385" cy="323850"/>
        </a:xfrm>
        <a:prstGeom prst="rect">
          <a:avLst/>
        </a:prstGeom>
        <a:noFill/>
        <a:ln w="9525">
          <a:solidFill>
            <a:schemeClr val="tx1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7" charset="0"/>
              <a:ea typeface="+mn-ea"/>
              <a:cs typeface="+mn-cs"/>
            </a:defRPr>
          </a:lvl9pPr>
        </a:lstStyle>
        <a:p>
          <a:pPr algn="ctr" eaLnBrk="1" hangingPunct="1">
            <a:spcBef>
              <a:spcPct val="50000"/>
            </a:spcBef>
            <a:buFontTx/>
            <a:buNone/>
          </a:pPr>
          <a:r>
            <a:rPr lang="en-US" altLang="en-US" sz="1400" b="1">
              <a:solidFill>
                <a:srgbClr val="0000FF"/>
              </a:solidFill>
              <a:latin typeface="Times New Roman" panose="02020603050405020304" charset="0"/>
              <a:cs typeface="Times New Roman" panose="02020603050405020304" charset="0"/>
            </a:rPr>
            <a:t>Comparison of </a:t>
          </a:r>
          <a:r>
            <a:rPr lang="en-IN" altLang="en-US" sz="1400" b="1">
              <a:solidFill>
                <a:srgbClr val="0000FF"/>
              </a:solidFill>
              <a:latin typeface="Times New Roman" panose="02020603050405020304" charset="0"/>
              <a:cs typeface="Times New Roman" panose="02020603050405020304" charset="0"/>
            </a:rPr>
            <a:t>Science</a:t>
          </a:r>
          <a:r>
            <a:rPr lang="en-US" altLang="en-US" sz="1400" b="1">
              <a:solidFill>
                <a:srgbClr val="0000FF"/>
              </a:solidFill>
              <a:latin typeface="Times New Roman" panose="02020603050405020304" charset="0"/>
              <a:cs typeface="Times New Roman" panose="02020603050405020304" charset="0"/>
            </a:rPr>
            <a:t> Score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76200</xdr:rowOff>
    </xdr:from>
    <xdr:to>
      <xdr:col>9</xdr:col>
      <xdr:colOff>19050</xdr:colOff>
      <xdr:row>10</xdr:row>
      <xdr:rowOff>200660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 noChangeArrowheads="1"/>
        </xdr:cNvSpPr>
      </xdr:nvSpPr>
      <xdr:spPr bwMode="auto">
        <a:xfrm>
          <a:off x="9525" y="584200"/>
          <a:ext cx="5495925" cy="2296160"/>
        </a:xfrm>
        <a:prstGeom prst="rect">
          <a:avLst/>
        </a:prstGeom>
        <a:noFill/>
        <a:ln>
          <a:solidFill>
            <a:schemeClr val="tx1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1440" tIns="45720" rIns="91440" bIns="45720" numCol="1" anchor="t" anchorCtr="0" compatLnSpc="1"/>
        <a:lstStyle>
          <a:lvl1pPr marL="342900" indent="-342900" algn="l" rtl="0" eaLnBrk="0" fontAlgn="base" hangingPunct="0">
            <a:spcBef>
              <a:spcPct val="20000"/>
            </a:spcBef>
            <a:spcAft>
              <a:spcPct val="0"/>
            </a:spcAft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ct val="20000"/>
            </a:spcBef>
            <a:spcAft>
              <a:spcPct val="0"/>
            </a:spcAft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ct val="20000"/>
            </a:spcBef>
            <a:spcAft>
              <a:spcPct val="0"/>
            </a:spcAft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ct val="20000"/>
            </a:spcBef>
            <a:spcAft>
              <a:spcPct val="0"/>
            </a:spcAft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ct val="20000"/>
            </a:spcBef>
            <a:spcAft>
              <a:spcPct val="0"/>
            </a:spcAft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hangingPunct="1">
            <a:lnSpc>
              <a:spcPct val="80000"/>
            </a:lnSpc>
            <a:buFontTx/>
            <a:buNone/>
          </a:pPr>
          <a:r>
            <a:rPr lang="en-US" altLang="en-US" sz="1800" b="1">
              <a:solidFill>
                <a:srgbClr val="0000FF"/>
              </a:solidFill>
            </a:rPr>
            <a:t>  Example :</a:t>
          </a:r>
        </a:p>
        <a:p>
          <a:pPr algn="just" eaLnBrk="1" hangingPunct="1">
            <a:lnSpc>
              <a:spcPct val="80000"/>
            </a:lnSpc>
            <a:buFontTx/>
            <a:buNone/>
          </a:pPr>
          <a:r>
            <a:rPr lang="en-US" altLang="en-US" sz="1800" b="1">
              <a:solidFill>
                <a:srgbClr val="0000FF"/>
              </a:solidFill>
            </a:rPr>
            <a:t>     12 Cars were equipped with </a:t>
          </a:r>
          <a:r>
            <a:rPr lang="en-US" altLang="en-US" sz="1800" b="1">
              <a:solidFill>
                <a:srgbClr val="FF00FF"/>
              </a:solidFill>
            </a:rPr>
            <a:t>radial tires</a:t>
          </a:r>
          <a:r>
            <a:rPr lang="en-US" altLang="en-US" sz="1800" b="1">
              <a:solidFill>
                <a:srgbClr val="0000FF"/>
              </a:solidFill>
            </a:rPr>
            <a:t> and driven over a test course. Then the </a:t>
          </a:r>
          <a:r>
            <a:rPr lang="en-US" altLang="en-US" sz="1800" b="1">
              <a:solidFill>
                <a:srgbClr val="FF00FF"/>
              </a:solidFill>
            </a:rPr>
            <a:t>same</a:t>
          </a:r>
          <a:r>
            <a:rPr lang="en-US" altLang="en-US" sz="1800" b="1">
              <a:solidFill>
                <a:srgbClr val="0000FF"/>
              </a:solidFill>
            </a:rPr>
            <a:t> 12 cars (with the same drivers) were equipped with </a:t>
          </a:r>
          <a:r>
            <a:rPr lang="en-US" altLang="en-US" sz="1800" b="1">
              <a:solidFill>
                <a:srgbClr val="FF00FF"/>
              </a:solidFill>
            </a:rPr>
            <a:t>regular belted</a:t>
          </a:r>
          <a:r>
            <a:rPr lang="en-US" altLang="en-US" sz="1800" b="1">
              <a:solidFill>
                <a:srgbClr val="0000FF"/>
              </a:solidFill>
            </a:rPr>
            <a:t> tires and driven over the </a:t>
          </a:r>
          <a:r>
            <a:rPr lang="en-US" altLang="en-US" sz="1800" b="1">
              <a:solidFill>
                <a:srgbClr val="FF00FF"/>
              </a:solidFill>
            </a:rPr>
            <a:t>same</a:t>
          </a:r>
          <a:r>
            <a:rPr lang="en-US" altLang="en-US" sz="1800" b="1">
              <a:solidFill>
                <a:srgbClr val="0000FF"/>
              </a:solidFill>
            </a:rPr>
            <a:t> course. After each run the cars’ gas economy (in km/l) was measured. Is there evidence that radial tires produce better fuel economy?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9</xdr:col>
      <xdr:colOff>0</xdr:colOff>
      <xdr:row>7</xdr:row>
      <xdr:rowOff>162560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 noChangeArrowheads="1"/>
        </xdr:cNvSpPr>
      </xdr:nvSpPr>
      <xdr:spPr bwMode="auto">
        <a:xfrm>
          <a:off x="9525" y="409575"/>
          <a:ext cx="5506085" cy="1153160"/>
        </a:xfrm>
        <a:prstGeom prst="rect">
          <a:avLst/>
        </a:prstGeom>
        <a:noFill/>
        <a:ln>
          <a:solidFill>
            <a:schemeClr val="tx1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1440" tIns="45720" rIns="91440" bIns="45720" numCol="1" anchor="t" anchorCtr="0" compatLnSpc="1"/>
        <a:lstStyle>
          <a:lvl1pPr marL="342900" indent="-342900" algn="l" rtl="0" eaLnBrk="0" fontAlgn="base" hangingPunct="0">
            <a:spcBef>
              <a:spcPct val="20000"/>
            </a:spcBef>
            <a:spcAft>
              <a:spcPct val="0"/>
            </a:spcAft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ct val="20000"/>
            </a:spcBef>
            <a:spcAft>
              <a:spcPct val="0"/>
            </a:spcAft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ct val="20000"/>
            </a:spcBef>
            <a:spcAft>
              <a:spcPct val="0"/>
            </a:spcAft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ct val="20000"/>
            </a:spcBef>
            <a:spcAft>
              <a:spcPct val="0"/>
            </a:spcAft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ct val="20000"/>
            </a:spcBef>
            <a:spcAft>
              <a:spcPct val="0"/>
            </a:spcAft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just" eaLnBrk="1" hangingPunct="1">
            <a:buNone/>
          </a:pPr>
          <a:r>
            <a:rPr lang="en-US" altLang="en-US" sz="1800" b="1">
              <a:solidFill>
                <a:srgbClr val="0000FF"/>
              </a:solidFill>
            </a:rPr>
            <a:t>A company is comparing methods for producing pipes and wants to choose the method with least variability. </a:t>
          </a:r>
        </a:p>
        <a:p>
          <a:pPr marL="0" indent="0" algn="just" eaLnBrk="1" hangingPunct="1">
            <a:buNone/>
          </a:pPr>
          <a:r>
            <a:rPr lang="en-US" altLang="en-US" sz="1800" b="1">
              <a:solidFill>
                <a:srgbClr val="0000FF"/>
              </a:solidFill>
            </a:rPr>
            <a:t>Data on length (m). of pipes both the methods is given  </a:t>
          </a:r>
        </a:p>
        <a:p>
          <a:pPr marL="0" indent="0" algn="just" eaLnBrk="1" hangingPunct="1">
            <a:buFontTx/>
            <a:buNone/>
          </a:pPr>
          <a:endParaRPr lang="en-US" altLang="en-US" sz="1800" b="1">
            <a:solidFill>
              <a:srgbClr val="0000FF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5</xdr:col>
      <xdr:colOff>29210</xdr:colOff>
      <xdr:row>5</xdr:row>
      <xdr:rowOff>10160</xdr:rowOff>
    </xdr:to>
    <xdr:sp macro="" textlink="">
      <xdr:nvSpPr>
        <xdr:cNvPr id="2" name="Rectangl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 noChangeArrowheads="1"/>
        </xdr:cNvSpPr>
      </xdr:nvSpPr>
      <xdr:spPr bwMode="auto">
        <a:xfrm>
          <a:off x="9525" y="200025"/>
          <a:ext cx="3667760" cy="572135"/>
        </a:xfrm>
        <a:prstGeom prst="rect">
          <a:avLst/>
        </a:prstGeom>
        <a:noFill/>
        <a:ln>
          <a:solidFill>
            <a:schemeClr val="tx1"/>
          </a:solidFill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1440" tIns="45720" rIns="91440" bIns="45720" numCol="1" anchor="ctr" anchorCtr="0" compatLnSpc="1"/>
        <a:lstStyle>
          <a:lvl1pPr marL="342900" indent="-342900" algn="l" rtl="0" eaLnBrk="0" fontAlgn="base" hangingPunct="0">
            <a:spcBef>
              <a:spcPct val="20000"/>
            </a:spcBef>
            <a:spcAft>
              <a:spcPct val="0"/>
            </a:spcAft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ct val="20000"/>
            </a:spcBef>
            <a:spcAft>
              <a:spcPct val="0"/>
            </a:spcAft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ct val="20000"/>
            </a:spcBef>
            <a:spcAft>
              <a:spcPct val="0"/>
            </a:spcAft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ct val="20000"/>
            </a:spcBef>
            <a:spcAft>
              <a:spcPct val="0"/>
            </a:spcAft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ct val="20000"/>
            </a:spcBef>
            <a:spcAft>
              <a:spcPct val="0"/>
            </a:spcAft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7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hangingPunct="1">
            <a:buFontTx/>
            <a:buNone/>
          </a:pPr>
          <a:r>
            <a:rPr lang="en-US" altLang="en-US" sz="1400" b="1">
              <a:solidFill>
                <a:srgbClr val="0000FF"/>
              </a:solidFill>
              <a:latin typeface="Times New Roman" panose="02020603050405020304" charset="0"/>
              <a:cs typeface="Times New Roman" panose="02020603050405020304" charset="0"/>
            </a:rPr>
            <a:t>  Association between gender   &amp; preference                   for ice-cream flavor </a:t>
          </a:r>
        </a:p>
      </xdr:txBody>
    </xdr:sp>
    <xdr:clientData/>
  </xdr:twoCellAnchor>
  <xdr:twoCellAnchor>
    <xdr:from>
      <xdr:col>0</xdr:col>
      <xdr:colOff>390525</xdr:colOff>
      <xdr:row>12</xdr:row>
      <xdr:rowOff>0</xdr:rowOff>
    </xdr:from>
    <xdr:to>
      <xdr:col>4</xdr:col>
      <xdr:colOff>276860</xdr:colOff>
      <xdr:row>22</xdr:row>
      <xdr:rowOff>47625</xdr:rowOff>
    </xdr:to>
    <xdr:pic>
      <xdr:nvPicPr>
        <xdr:cNvPr id="3" name="Picture 24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819400"/>
          <a:ext cx="2924810" cy="1952625"/>
        </a:xfrm>
        <a:prstGeom prst="rect">
          <a:avLst/>
        </a:prstGeom>
        <a:noFill/>
        <a:ln w="12700" cmpd="sng">
          <a:solidFill>
            <a:schemeClr val="tx1"/>
          </a:solidFill>
          <a:prstDash val="soli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P34"/>
  <sheetViews>
    <sheetView topLeftCell="D1" zoomScale="120" zoomScaleNormal="120" workbookViewId="0">
      <selection activeCell="M24" sqref="M24"/>
    </sheetView>
  </sheetViews>
  <sheetFormatPr defaultColWidth="9" defaultRowHeight="15.6"/>
  <cols>
    <col min="9" max="9" width="12.44140625" style="15" customWidth="1"/>
    <col min="10" max="10" width="9" style="17"/>
    <col min="12" max="12" width="23.77734375" customWidth="1"/>
    <col min="13" max="13" width="15.5546875" bestFit="1" customWidth="1"/>
    <col min="16" max="16" width="21.44140625" customWidth="1"/>
  </cols>
  <sheetData>
    <row r="1" spans="9:16">
      <c r="I1" s="15" t="s">
        <v>0</v>
      </c>
      <c r="J1" s="16" t="s">
        <v>1</v>
      </c>
    </row>
    <row r="2" spans="9:16" ht="18">
      <c r="I2" s="15">
        <v>1</v>
      </c>
      <c r="J2" s="16">
        <v>11.5</v>
      </c>
      <c r="K2" s="21">
        <v>15.7</v>
      </c>
      <c r="L2" s="20" t="s">
        <v>24</v>
      </c>
    </row>
    <row r="3" spans="9:16">
      <c r="I3" s="15">
        <v>2</v>
      </c>
      <c r="J3" s="16">
        <v>11.8</v>
      </c>
      <c r="K3" s="21">
        <v>15.7</v>
      </c>
      <c r="L3" s="19" t="s">
        <v>25</v>
      </c>
    </row>
    <row r="4" spans="9:16" ht="18">
      <c r="I4" s="15">
        <v>3</v>
      </c>
      <c r="J4" s="16">
        <v>15.7</v>
      </c>
      <c r="K4" s="21">
        <v>15.7</v>
      </c>
      <c r="L4" s="20" t="s">
        <v>26</v>
      </c>
    </row>
    <row r="5" spans="9:16">
      <c r="I5" s="15">
        <v>4</v>
      </c>
      <c r="J5" s="16">
        <v>16.100000000000001</v>
      </c>
      <c r="K5" s="21">
        <v>15.7</v>
      </c>
    </row>
    <row r="6" spans="9:16">
      <c r="I6" s="15">
        <v>5</v>
      </c>
      <c r="J6" s="16">
        <v>14.1</v>
      </c>
      <c r="K6" s="21">
        <v>15.7</v>
      </c>
    </row>
    <row r="7" spans="9:16" ht="21">
      <c r="I7" s="15">
        <v>6</v>
      </c>
      <c r="J7" s="16">
        <v>10.5</v>
      </c>
      <c r="K7" s="21">
        <v>15.7</v>
      </c>
      <c r="L7" s="24">
        <f>_xlfn.T.TEST(J2:J34,K2:K34,1,2)</f>
        <v>1.0284699051256629E-5</v>
      </c>
      <c r="M7" s="26" t="s">
        <v>27</v>
      </c>
      <c r="N7" s="20">
        <v>0.05</v>
      </c>
      <c r="P7" s="20" t="s">
        <v>29</v>
      </c>
    </row>
    <row r="8" spans="9:16">
      <c r="I8" s="15">
        <v>7</v>
      </c>
      <c r="J8" s="16">
        <v>15.2</v>
      </c>
      <c r="K8" s="21">
        <v>15.7</v>
      </c>
    </row>
    <row r="9" spans="9:16" ht="18">
      <c r="I9" s="15">
        <v>8</v>
      </c>
      <c r="J9" s="16">
        <v>19</v>
      </c>
      <c r="K9" s="21">
        <v>15.7</v>
      </c>
      <c r="L9">
        <v>1.02847E-5</v>
      </c>
      <c r="N9">
        <v>0.05</v>
      </c>
      <c r="P9" s="20" t="s">
        <v>26</v>
      </c>
    </row>
    <row r="10" spans="9:16">
      <c r="I10" s="15">
        <v>9</v>
      </c>
      <c r="J10" s="16">
        <v>12.8</v>
      </c>
      <c r="K10" s="21">
        <v>15.7</v>
      </c>
    </row>
    <row r="11" spans="9:16">
      <c r="I11" s="15">
        <v>10</v>
      </c>
      <c r="J11" s="16">
        <v>12.4</v>
      </c>
      <c r="K11" s="21">
        <v>15.7</v>
      </c>
    </row>
    <row r="12" spans="9:16">
      <c r="I12" s="15">
        <v>11</v>
      </c>
      <c r="J12" s="16">
        <v>19.2</v>
      </c>
      <c r="K12" s="21">
        <v>15.7</v>
      </c>
      <c r="L12" t="s">
        <v>30</v>
      </c>
    </row>
    <row r="13" spans="9:16" ht="16.2" thickBot="1">
      <c r="I13" s="15">
        <v>12</v>
      </c>
      <c r="J13" s="16">
        <v>13.5</v>
      </c>
      <c r="K13" s="21">
        <v>15.7</v>
      </c>
    </row>
    <row r="14" spans="9:16">
      <c r="I14" s="15">
        <v>13</v>
      </c>
      <c r="J14" s="16">
        <v>16.5</v>
      </c>
      <c r="K14" s="21">
        <v>15.7</v>
      </c>
      <c r="L14" s="28"/>
      <c r="M14" s="28" t="s">
        <v>31</v>
      </c>
      <c r="N14" s="28" t="s">
        <v>32</v>
      </c>
    </row>
    <row r="15" spans="9:16">
      <c r="I15" s="15">
        <v>14</v>
      </c>
      <c r="J15" s="16">
        <v>13.5</v>
      </c>
      <c r="K15" s="21">
        <v>15.7</v>
      </c>
      <c r="L15" t="s">
        <v>33</v>
      </c>
      <c r="M15">
        <v>13.663636363636364</v>
      </c>
      <c r="N15">
        <v>15.699999999999994</v>
      </c>
    </row>
    <row r="16" spans="9:16">
      <c r="I16" s="15">
        <v>15</v>
      </c>
      <c r="J16" s="16">
        <v>14.4</v>
      </c>
      <c r="K16" s="21">
        <v>15.7</v>
      </c>
      <c r="L16" t="s">
        <v>34</v>
      </c>
      <c r="M16">
        <v>6.4698863636363626</v>
      </c>
      <c r="N16">
        <v>2.9286461106330063E-29</v>
      </c>
    </row>
    <row r="17" spans="9:15">
      <c r="I17" s="15">
        <v>16</v>
      </c>
      <c r="J17" s="16">
        <v>16.7</v>
      </c>
      <c r="K17" s="21">
        <v>15.7</v>
      </c>
      <c r="L17" t="s">
        <v>35</v>
      </c>
      <c r="M17">
        <v>33</v>
      </c>
      <c r="N17">
        <v>33</v>
      </c>
    </row>
    <row r="18" spans="9:15">
      <c r="I18" s="15">
        <v>17</v>
      </c>
      <c r="J18" s="16">
        <v>10.9</v>
      </c>
      <c r="K18" s="21">
        <v>15.7</v>
      </c>
      <c r="L18" t="s">
        <v>36</v>
      </c>
      <c r="M18">
        <v>3.2349431818181813</v>
      </c>
    </row>
    <row r="19" spans="9:15">
      <c r="I19" s="15">
        <v>18</v>
      </c>
      <c r="J19" s="16">
        <v>13</v>
      </c>
      <c r="K19" s="21">
        <v>15.7</v>
      </c>
      <c r="L19" t="s">
        <v>37</v>
      </c>
      <c r="M19">
        <v>0</v>
      </c>
    </row>
    <row r="20" spans="9:15">
      <c r="I20" s="15">
        <v>19</v>
      </c>
      <c r="J20" s="16">
        <v>15.1</v>
      </c>
      <c r="K20" s="21">
        <v>15.7</v>
      </c>
      <c r="L20" t="s">
        <v>38</v>
      </c>
      <c r="M20">
        <v>64</v>
      </c>
    </row>
    <row r="21" spans="9:15">
      <c r="I21" s="15">
        <v>20</v>
      </c>
      <c r="J21" s="16">
        <v>17.100000000000001</v>
      </c>
      <c r="K21" s="21">
        <v>15.7</v>
      </c>
      <c r="L21" t="s">
        <v>39</v>
      </c>
      <c r="M21">
        <v>-4.5990060056028748</v>
      </c>
    </row>
    <row r="22" spans="9:15" ht="18">
      <c r="I22" s="15">
        <v>21</v>
      </c>
      <c r="J22" s="16">
        <v>13.3</v>
      </c>
      <c r="K22" s="21">
        <v>15.7</v>
      </c>
      <c r="L22" t="s">
        <v>40</v>
      </c>
      <c r="M22" s="29">
        <v>1.028469905125657E-5</v>
      </c>
      <c r="N22" s="22" t="s">
        <v>44</v>
      </c>
      <c r="O22" s="22">
        <v>0.05</v>
      </c>
    </row>
    <row r="23" spans="9:15">
      <c r="I23" s="15">
        <v>22</v>
      </c>
      <c r="J23" s="16">
        <v>12.4</v>
      </c>
      <c r="K23" s="21">
        <v>15.7</v>
      </c>
      <c r="L23" t="s">
        <v>41</v>
      </c>
      <c r="M23">
        <v>1.6690130250240895</v>
      </c>
    </row>
    <row r="24" spans="9:15" ht="18">
      <c r="I24" s="15">
        <v>23</v>
      </c>
      <c r="J24" s="16">
        <v>8.5</v>
      </c>
      <c r="K24" s="21">
        <v>15.7</v>
      </c>
      <c r="L24" t="s">
        <v>42</v>
      </c>
      <c r="M24" s="29">
        <v>2.0569398102513139E-5</v>
      </c>
    </row>
    <row r="25" spans="9:15" ht="16.2" thickBot="1">
      <c r="I25" s="15">
        <v>24</v>
      </c>
      <c r="J25" s="16">
        <v>14.3</v>
      </c>
      <c r="K25" s="21">
        <v>15.7</v>
      </c>
      <c r="L25" s="27" t="s">
        <v>43</v>
      </c>
      <c r="M25" s="27">
        <v>1.9977296543176954</v>
      </c>
      <c r="N25" s="27"/>
    </row>
    <row r="26" spans="9:15">
      <c r="I26" s="15">
        <v>25</v>
      </c>
      <c r="J26" s="16">
        <v>12.9</v>
      </c>
      <c r="K26" s="21">
        <v>15.7</v>
      </c>
    </row>
    <row r="27" spans="9:15">
      <c r="I27" s="15">
        <v>26</v>
      </c>
      <c r="J27" s="16">
        <v>11.1</v>
      </c>
      <c r="K27" s="21">
        <v>15.7</v>
      </c>
    </row>
    <row r="28" spans="9:15">
      <c r="I28" s="15">
        <v>27</v>
      </c>
      <c r="J28" s="16">
        <v>15</v>
      </c>
      <c r="K28" s="21">
        <v>15.7</v>
      </c>
    </row>
    <row r="29" spans="9:15">
      <c r="I29" s="15">
        <v>28</v>
      </c>
      <c r="J29" s="16">
        <v>13.3</v>
      </c>
      <c r="K29" s="21">
        <v>15.7</v>
      </c>
    </row>
    <row r="30" spans="9:15">
      <c r="I30" s="15">
        <v>29</v>
      </c>
      <c r="J30" s="16">
        <v>15.8</v>
      </c>
      <c r="K30" s="21">
        <v>15.7</v>
      </c>
    </row>
    <row r="31" spans="9:15">
      <c r="I31" s="15">
        <v>30</v>
      </c>
      <c r="J31" s="16">
        <v>13.5</v>
      </c>
      <c r="K31" s="21">
        <v>15.7</v>
      </c>
    </row>
    <row r="32" spans="9:15">
      <c r="I32" s="15">
        <v>31</v>
      </c>
      <c r="J32" s="16">
        <v>9.3000000000000007</v>
      </c>
      <c r="K32" s="21">
        <v>15.7</v>
      </c>
    </row>
    <row r="33" spans="9:11">
      <c r="I33" s="15">
        <v>32</v>
      </c>
      <c r="J33" s="16">
        <v>12.2</v>
      </c>
      <c r="K33" s="21">
        <v>15.7</v>
      </c>
    </row>
    <row r="34" spans="9:11">
      <c r="I34" s="15">
        <v>33</v>
      </c>
      <c r="J34" s="16">
        <v>10.3</v>
      </c>
      <c r="K34" s="21">
        <v>15.7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2:AJ26"/>
  <sheetViews>
    <sheetView topLeftCell="AB3" zoomScale="131" zoomScaleNormal="131" workbookViewId="0">
      <selection activeCell="AI19" sqref="AI19"/>
    </sheetView>
  </sheetViews>
  <sheetFormatPr defaultColWidth="9.109375" defaultRowHeight="14.4"/>
  <cols>
    <col min="19" max="19" width="21.6640625" customWidth="1"/>
    <col min="20" max="20" width="14.5546875" customWidth="1"/>
    <col min="27" max="27" width="16.33203125" customWidth="1"/>
    <col min="32" max="32" width="12.5546875" customWidth="1"/>
    <col min="33" max="33" width="16.88671875" customWidth="1"/>
    <col min="34" max="34" width="60" customWidth="1"/>
  </cols>
  <sheetData>
    <row r="2" spans="10:36" ht="21.6" thickBot="1">
      <c r="S2" s="30" t="s">
        <v>45</v>
      </c>
      <c r="AB2" s="18" t="s">
        <v>49</v>
      </c>
      <c r="AI2" s="11" t="s">
        <v>2</v>
      </c>
      <c r="AJ2" s="11" t="s">
        <v>3</v>
      </c>
    </row>
    <row r="3" spans="10:36" ht="18.600000000000001" thickBot="1">
      <c r="J3" s="11" t="s">
        <v>2</v>
      </c>
      <c r="K3" s="11" t="s">
        <v>3</v>
      </c>
      <c r="O3" s="11" t="s">
        <v>2</v>
      </c>
      <c r="P3" s="11" t="s">
        <v>3</v>
      </c>
      <c r="S3" s="31" t="s">
        <v>25</v>
      </c>
      <c r="AB3" s="18" t="s">
        <v>25</v>
      </c>
      <c r="AI3" s="13">
        <v>26</v>
      </c>
      <c r="AJ3" s="13">
        <v>21</v>
      </c>
    </row>
    <row r="4" spans="10:36" ht="21.6" thickBot="1">
      <c r="J4" s="12">
        <v>41</v>
      </c>
      <c r="K4" s="12">
        <v>32</v>
      </c>
      <c r="O4" s="13">
        <v>26</v>
      </c>
      <c r="P4" s="13">
        <v>21</v>
      </c>
      <c r="S4" s="30" t="s">
        <v>46</v>
      </c>
      <c r="AB4" s="30" t="s">
        <v>50</v>
      </c>
      <c r="AI4" s="13">
        <v>26</v>
      </c>
      <c r="AJ4" s="13">
        <v>21</v>
      </c>
    </row>
    <row r="5" spans="10:36" ht="18" thickBot="1">
      <c r="J5" s="12">
        <v>39</v>
      </c>
      <c r="K5" s="12">
        <v>54</v>
      </c>
      <c r="O5" s="13">
        <v>26</v>
      </c>
      <c r="P5" s="13">
        <v>21</v>
      </c>
      <c r="AI5" s="13">
        <v>21</v>
      </c>
      <c r="AJ5" s="13">
        <v>23</v>
      </c>
    </row>
    <row r="6" spans="10:36" ht="24" thickBot="1">
      <c r="J6" s="12">
        <v>53</v>
      </c>
      <c r="K6" s="12">
        <v>59</v>
      </c>
      <c r="O6" s="13">
        <v>21</v>
      </c>
      <c r="P6" s="13">
        <v>23</v>
      </c>
      <c r="S6" s="24">
        <f>_xlfn.T.TEST(J4:J18,K4:K22,1,2)</f>
        <v>3.9512011358579104E-2</v>
      </c>
      <c r="T6" s="32" t="s">
        <v>28</v>
      </c>
      <c r="U6" s="26">
        <v>0.05</v>
      </c>
      <c r="AF6" s="23">
        <f>_xlfn.T.TEST(AI3:AI17,AJ3:AJ21,1,2)</f>
        <v>3.1291502878154999E-2</v>
      </c>
      <c r="AG6" s="31" t="s">
        <v>28</v>
      </c>
      <c r="AH6" s="33">
        <v>0.05</v>
      </c>
      <c r="AI6" s="13">
        <v>33</v>
      </c>
      <c r="AJ6" s="13">
        <v>25</v>
      </c>
    </row>
    <row r="7" spans="10:36" ht="21.6" thickBot="1">
      <c r="J7" s="12">
        <v>67</v>
      </c>
      <c r="K7" s="12">
        <v>54</v>
      </c>
      <c r="O7" s="13">
        <v>33</v>
      </c>
      <c r="P7" s="13">
        <v>25</v>
      </c>
      <c r="S7" s="26">
        <v>0.04</v>
      </c>
      <c r="AH7" s="18" t="s">
        <v>47</v>
      </c>
      <c r="AI7" s="13">
        <v>27</v>
      </c>
      <c r="AJ7" s="13">
        <v>24</v>
      </c>
    </row>
    <row r="8" spans="10:36" ht="18" thickBot="1">
      <c r="J8" s="12">
        <v>61</v>
      </c>
      <c r="K8" s="12">
        <v>52</v>
      </c>
      <c r="O8" s="13">
        <v>27</v>
      </c>
      <c r="P8" s="13">
        <v>24</v>
      </c>
      <c r="AH8" s="18" t="s">
        <v>51</v>
      </c>
      <c r="AI8" s="13">
        <v>29</v>
      </c>
      <c r="AJ8" s="13">
        <v>27</v>
      </c>
    </row>
    <row r="9" spans="10:36" ht="21.6" thickBot="1">
      <c r="J9" s="12">
        <v>67</v>
      </c>
      <c r="K9" s="12">
        <v>44</v>
      </c>
      <c r="O9" s="13">
        <v>29</v>
      </c>
      <c r="P9" s="13">
        <v>27</v>
      </c>
      <c r="S9" s="26" t="s">
        <v>47</v>
      </c>
      <c r="AH9" s="18" t="s">
        <v>52</v>
      </c>
      <c r="AI9" s="13">
        <v>22</v>
      </c>
      <c r="AJ9" s="13">
        <v>18</v>
      </c>
    </row>
    <row r="10" spans="10:36" ht="18" thickBot="1">
      <c r="J10" s="12">
        <v>46</v>
      </c>
      <c r="K10" s="12">
        <v>51</v>
      </c>
      <c r="O10" s="13">
        <v>22</v>
      </c>
      <c r="P10" s="13">
        <v>18</v>
      </c>
      <c r="AE10" t="s">
        <v>30</v>
      </c>
      <c r="AI10" s="13">
        <v>23</v>
      </c>
      <c r="AJ10" s="13">
        <v>26</v>
      </c>
    </row>
    <row r="11" spans="10:36" ht="21.6" thickBot="1">
      <c r="J11" s="12">
        <v>55</v>
      </c>
      <c r="K11" s="12">
        <v>62</v>
      </c>
      <c r="O11" s="13">
        <v>23</v>
      </c>
      <c r="P11" s="13">
        <v>26</v>
      </c>
      <c r="S11" s="26" t="s">
        <v>48</v>
      </c>
      <c r="AI11" s="13">
        <v>19</v>
      </c>
      <c r="AJ11" s="13">
        <v>16</v>
      </c>
    </row>
    <row r="12" spans="10:36" ht="18" thickBot="1">
      <c r="J12" s="12">
        <v>72</v>
      </c>
      <c r="K12" s="12">
        <v>56</v>
      </c>
      <c r="O12" s="13">
        <v>19</v>
      </c>
      <c r="P12" s="13">
        <v>16</v>
      </c>
      <c r="AE12" s="28"/>
      <c r="AF12" s="28" t="s">
        <v>2</v>
      </c>
      <c r="AG12" s="28" t="s">
        <v>3</v>
      </c>
      <c r="AI12" s="13">
        <v>32</v>
      </c>
      <c r="AJ12" s="13">
        <v>23</v>
      </c>
    </row>
    <row r="13" spans="10:36" ht="18" thickBot="1">
      <c r="J13" s="12">
        <v>63</v>
      </c>
      <c r="K13" s="12">
        <v>38</v>
      </c>
      <c r="O13" s="13">
        <v>32</v>
      </c>
      <c r="P13" s="13">
        <v>23</v>
      </c>
      <c r="S13" t="s">
        <v>30</v>
      </c>
      <c r="AE13" t="s">
        <v>33</v>
      </c>
      <c r="AF13" s="34">
        <v>25.466666666666665</v>
      </c>
      <c r="AG13" s="34">
        <v>22.684210526315791</v>
      </c>
      <c r="AI13" s="13">
        <v>31</v>
      </c>
      <c r="AJ13" s="13">
        <v>19</v>
      </c>
    </row>
    <row r="14" spans="10:36" ht="18" thickBot="1">
      <c r="J14" s="12">
        <v>59</v>
      </c>
      <c r="K14" s="12">
        <v>52</v>
      </c>
      <c r="O14" s="13">
        <v>31</v>
      </c>
      <c r="P14" s="13">
        <v>19</v>
      </c>
      <c r="AE14" t="s">
        <v>34</v>
      </c>
      <c r="AF14">
        <v>21.695238095238114</v>
      </c>
      <c r="AG14">
        <v>14.116959064327501</v>
      </c>
      <c r="AI14" s="13">
        <v>19</v>
      </c>
      <c r="AJ14" s="13">
        <v>25</v>
      </c>
    </row>
    <row r="15" spans="10:36" ht="18" thickBot="1">
      <c r="J15" s="12">
        <v>53</v>
      </c>
      <c r="K15" s="12">
        <v>40</v>
      </c>
      <c r="O15" s="13">
        <v>19</v>
      </c>
      <c r="P15" s="13">
        <v>25</v>
      </c>
      <c r="S15" s="28"/>
      <c r="T15" s="28" t="s">
        <v>2</v>
      </c>
      <c r="U15" s="28" t="s">
        <v>3</v>
      </c>
      <c r="AE15" t="s">
        <v>35</v>
      </c>
      <c r="AF15">
        <v>15</v>
      </c>
      <c r="AG15">
        <v>19</v>
      </c>
      <c r="AI15" s="13">
        <v>26</v>
      </c>
      <c r="AJ15" s="13">
        <v>24</v>
      </c>
    </row>
    <row r="16" spans="10:36" ht="18" thickBot="1">
      <c r="J16" s="12">
        <v>62</v>
      </c>
      <c r="K16" s="12">
        <v>45</v>
      </c>
      <c r="O16" s="13">
        <v>26</v>
      </c>
      <c r="P16" s="13">
        <v>24</v>
      </c>
      <c r="S16" t="s">
        <v>33</v>
      </c>
      <c r="T16">
        <v>56.733333333333334</v>
      </c>
      <c r="U16">
        <v>50.526315789473685</v>
      </c>
      <c r="AE16" t="s">
        <v>36</v>
      </c>
      <c r="AF16">
        <v>17.432456140350894</v>
      </c>
      <c r="AI16" s="13">
        <v>20</v>
      </c>
      <c r="AJ16" s="13">
        <v>27</v>
      </c>
    </row>
    <row r="17" spans="10:36" ht="18" thickBot="1">
      <c r="J17" s="12">
        <v>65</v>
      </c>
      <c r="K17" s="12">
        <v>31</v>
      </c>
      <c r="O17" s="13">
        <v>20</v>
      </c>
      <c r="P17" s="13">
        <v>27</v>
      </c>
      <c r="S17" t="s">
        <v>34</v>
      </c>
      <c r="T17">
        <v>99.066666666666734</v>
      </c>
      <c r="U17">
        <v>97.374269005847765</v>
      </c>
      <c r="AE17" t="s">
        <v>37</v>
      </c>
      <c r="AF17">
        <v>0</v>
      </c>
      <c r="AI17" s="13">
        <v>28</v>
      </c>
      <c r="AJ17" s="13">
        <v>25</v>
      </c>
    </row>
    <row r="18" spans="10:36" ht="18" thickBot="1">
      <c r="J18" s="12">
        <v>48</v>
      </c>
      <c r="K18" s="12">
        <v>64</v>
      </c>
      <c r="O18" s="13">
        <v>28</v>
      </c>
      <c r="P18" s="13">
        <v>25</v>
      </c>
      <c r="S18" t="s">
        <v>35</v>
      </c>
      <c r="T18">
        <v>15</v>
      </c>
      <c r="U18">
        <v>19</v>
      </c>
      <c r="AE18" t="s">
        <v>38</v>
      </c>
      <c r="AF18">
        <v>32</v>
      </c>
      <c r="AI18" s="1"/>
      <c r="AJ18" s="13">
        <v>26</v>
      </c>
    </row>
    <row r="19" spans="10:36" ht="18" thickBot="1">
      <c r="J19" s="14"/>
      <c r="K19" s="12">
        <v>64</v>
      </c>
      <c r="O19" s="1"/>
      <c r="P19" s="13">
        <v>26</v>
      </c>
      <c r="S19" t="s">
        <v>36</v>
      </c>
      <c r="T19">
        <v>98.114692982456063</v>
      </c>
      <c r="AE19" t="s">
        <v>39</v>
      </c>
      <c r="AF19">
        <v>1.9294432448373358</v>
      </c>
      <c r="AI19" s="1"/>
      <c r="AJ19" s="13">
        <v>21</v>
      </c>
    </row>
    <row r="20" spans="10:36" ht="18" thickBot="1">
      <c r="J20" s="14"/>
      <c r="K20" s="12">
        <v>53</v>
      </c>
      <c r="O20" s="1"/>
      <c r="P20" s="13">
        <v>21</v>
      </c>
      <c r="S20" t="s">
        <v>37</v>
      </c>
      <c r="T20">
        <v>0</v>
      </c>
      <c r="AE20" t="s">
        <v>40</v>
      </c>
      <c r="AF20">
        <v>3.1291502878154999E-2</v>
      </c>
      <c r="AI20" s="1"/>
      <c r="AJ20" s="13">
        <v>26</v>
      </c>
    </row>
    <row r="21" spans="10:36" ht="18" thickBot="1">
      <c r="J21" s="14"/>
      <c r="K21" s="12">
        <v>51</v>
      </c>
      <c r="O21" s="1"/>
      <c r="P21" s="13">
        <v>26</v>
      </c>
      <c r="S21" t="s">
        <v>38</v>
      </c>
      <c r="T21">
        <v>32</v>
      </c>
      <c r="AE21" t="s">
        <v>41</v>
      </c>
      <c r="AF21">
        <v>1.6938887483837093</v>
      </c>
      <c r="AI21" s="1"/>
      <c r="AJ21" s="13">
        <v>14</v>
      </c>
    </row>
    <row r="22" spans="10:36" ht="18" thickBot="1">
      <c r="J22" s="14"/>
      <c r="K22" s="12">
        <v>58</v>
      </c>
      <c r="O22" s="1"/>
      <c r="P22" s="13">
        <v>14</v>
      </c>
      <c r="S22" t="s">
        <v>39</v>
      </c>
      <c r="T22">
        <v>1.8142574694334428</v>
      </c>
      <c r="AE22" t="s">
        <v>42</v>
      </c>
      <c r="AF22">
        <v>6.2583005756309998E-2</v>
      </c>
    </row>
    <row r="23" spans="10:36" ht="15" thickBot="1">
      <c r="S23" t="s">
        <v>40</v>
      </c>
      <c r="T23">
        <v>3.9512011358579104E-2</v>
      </c>
      <c r="AE23" s="27" t="s">
        <v>43</v>
      </c>
      <c r="AF23" s="27">
        <v>2.0369333434601011</v>
      </c>
      <c r="AG23" s="27"/>
    </row>
    <row r="24" spans="10:36">
      <c r="S24" t="s">
        <v>41</v>
      </c>
      <c r="T24">
        <v>1.6938887483837093</v>
      </c>
    </row>
    <row r="25" spans="10:36">
      <c r="S25" t="s">
        <v>42</v>
      </c>
      <c r="T25">
        <v>7.9024022717158207E-2</v>
      </c>
    </row>
    <row r="26" spans="10:36" ht="15" thickBot="1">
      <c r="S26" s="27" t="s">
        <v>43</v>
      </c>
      <c r="T26" s="27">
        <v>2.0369333434601011</v>
      </c>
      <c r="U26" s="27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K1:S17"/>
  <sheetViews>
    <sheetView topLeftCell="K1" workbookViewId="0">
      <selection activeCell="O12" sqref="O12"/>
    </sheetView>
  </sheetViews>
  <sheetFormatPr defaultColWidth="9.109375" defaultRowHeight="14.4"/>
  <cols>
    <col min="12" max="12" width="11.109375" customWidth="1"/>
    <col min="13" max="13" width="12.33203125" customWidth="1"/>
    <col min="15" max="15" width="43.88671875" customWidth="1"/>
    <col min="18" max="18" width="20.6640625" customWidth="1"/>
    <col min="19" max="19" width="18.21875" customWidth="1"/>
  </cols>
  <sheetData>
    <row r="1" spans="11:19" ht="40.049999999999997" customHeight="1">
      <c r="K1" s="39" t="s">
        <v>4</v>
      </c>
      <c r="L1" s="38" t="s">
        <v>5</v>
      </c>
      <c r="M1" s="38"/>
      <c r="O1" s="25" t="s">
        <v>53</v>
      </c>
      <c r="R1" s="25" t="s">
        <v>54</v>
      </c>
    </row>
    <row r="2" spans="11:19" ht="39" customHeight="1">
      <c r="K2" s="39"/>
      <c r="L2" s="10" t="s">
        <v>6</v>
      </c>
      <c r="M2" s="10" t="s">
        <v>7</v>
      </c>
      <c r="O2" s="24">
        <f>_xlfn.T.TEST(L3:L14,M3:M14,1,1)</f>
        <v>1.5164752831992617E-2</v>
      </c>
      <c r="P2" s="32" t="s">
        <v>28</v>
      </c>
      <c r="Q2" s="26">
        <v>0.05</v>
      </c>
    </row>
    <row r="3" spans="11:19" ht="20.399999999999999">
      <c r="K3" s="35">
        <v>1</v>
      </c>
      <c r="L3" s="36">
        <v>4.2</v>
      </c>
      <c r="M3" s="36">
        <v>4.0999999999999996</v>
      </c>
    </row>
    <row r="4" spans="11:19" ht="20.399999999999999">
      <c r="K4" s="35">
        <v>2</v>
      </c>
      <c r="L4" s="36">
        <v>4.7</v>
      </c>
      <c r="M4" s="36">
        <v>4.9000000000000004</v>
      </c>
      <c r="O4" s="18" t="s">
        <v>47</v>
      </c>
      <c r="Q4" t="s">
        <v>56</v>
      </c>
    </row>
    <row r="5" spans="11:19" ht="21" thickBot="1">
      <c r="K5" s="35">
        <v>3</v>
      </c>
      <c r="L5" s="36">
        <v>6.6</v>
      </c>
      <c r="M5" s="36">
        <v>6.2</v>
      </c>
      <c r="O5" s="18" t="s">
        <v>51</v>
      </c>
    </row>
    <row r="6" spans="11:19" ht="21" thickBot="1">
      <c r="K6" s="35">
        <v>4</v>
      </c>
      <c r="L6" s="36">
        <v>7</v>
      </c>
      <c r="M6" s="36">
        <v>6.9</v>
      </c>
      <c r="O6" s="18" t="s">
        <v>55</v>
      </c>
      <c r="Q6" s="28"/>
      <c r="R6" s="28" t="s">
        <v>6</v>
      </c>
      <c r="S6" s="28" t="s">
        <v>7</v>
      </c>
    </row>
    <row r="7" spans="11:19" ht="21.6" thickBot="1">
      <c r="K7" s="35">
        <v>5</v>
      </c>
      <c r="L7" s="36">
        <v>6.7</v>
      </c>
      <c r="M7" s="36">
        <v>6.8</v>
      </c>
      <c r="Q7" t="s">
        <v>33</v>
      </c>
      <c r="R7" s="37">
        <v>5.75</v>
      </c>
      <c r="S7" s="37">
        <v>5.6083333333333343</v>
      </c>
    </row>
    <row r="8" spans="11:19" ht="21" thickBot="1">
      <c r="K8" s="35">
        <v>6</v>
      </c>
      <c r="L8" s="36">
        <v>4.5</v>
      </c>
      <c r="M8" s="36">
        <v>4.4000000000000004</v>
      </c>
      <c r="Q8" t="s">
        <v>34</v>
      </c>
      <c r="R8">
        <v>1.1081818181818179</v>
      </c>
      <c r="S8">
        <v>0.98810606060605077</v>
      </c>
    </row>
    <row r="9" spans="11:19" ht="21" thickBot="1">
      <c r="K9" s="35">
        <v>7</v>
      </c>
      <c r="L9" s="36">
        <v>5.7</v>
      </c>
      <c r="M9" s="36">
        <v>5.7</v>
      </c>
      <c r="Q9" t="s">
        <v>35</v>
      </c>
      <c r="R9">
        <v>12</v>
      </c>
      <c r="S9">
        <v>12</v>
      </c>
    </row>
    <row r="10" spans="11:19" ht="21" thickBot="1">
      <c r="K10" s="35">
        <v>8</v>
      </c>
      <c r="L10" s="36">
        <v>6</v>
      </c>
      <c r="M10" s="36">
        <v>5.8</v>
      </c>
      <c r="Q10" t="s">
        <v>57</v>
      </c>
      <c r="R10">
        <v>0.98300240724882759</v>
      </c>
    </row>
    <row r="11" spans="11:19" ht="21" thickBot="1">
      <c r="K11" s="35">
        <v>9</v>
      </c>
      <c r="L11" s="36">
        <v>7.4</v>
      </c>
      <c r="M11" s="36">
        <v>6.9</v>
      </c>
      <c r="Q11" t="s">
        <v>37</v>
      </c>
      <c r="R11">
        <v>0</v>
      </c>
    </row>
    <row r="12" spans="11:19" ht="21" thickBot="1">
      <c r="K12" s="35">
        <v>10</v>
      </c>
      <c r="L12" s="36">
        <v>4.9000000000000004</v>
      </c>
      <c r="M12" s="36">
        <v>4.7</v>
      </c>
      <c r="Q12" t="s">
        <v>38</v>
      </c>
      <c r="R12">
        <v>11</v>
      </c>
    </row>
    <row r="13" spans="11:19" ht="21" thickBot="1">
      <c r="K13" s="35">
        <v>11</v>
      </c>
      <c r="L13" s="36">
        <v>6.1</v>
      </c>
      <c r="M13" s="36">
        <v>6</v>
      </c>
      <c r="Q13" t="s">
        <v>39</v>
      </c>
      <c r="R13">
        <v>2.4845151506844516</v>
      </c>
    </row>
    <row r="14" spans="11:19" ht="21.6" thickBot="1">
      <c r="K14" s="35">
        <v>12</v>
      </c>
      <c r="L14" s="36">
        <v>5.2</v>
      </c>
      <c r="M14" s="36">
        <v>4.9000000000000004</v>
      </c>
      <c r="Q14" t="s">
        <v>40</v>
      </c>
      <c r="R14" s="24">
        <v>1.5164752831992144E-2</v>
      </c>
    </row>
    <row r="15" spans="11:19">
      <c r="Q15" t="s">
        <v>41</v>
      </c>
      <c r="R15">
        <v>1.7958848187040437</v>
      </c>
    </row>
    <row r="16" spans="11:19">
      <c r="Q16" t="s">
        <v>42</v>
      </c>
      <c r="R16">
        <v>3.0329505663984287E-2</v>
      </c>
    </row>
    <row r="17" spans="17:19" ht="15" thickBot="1">
      <c r="Q17" s="27" t="s">
        <v>43</v>
      </c>
      <c r="R17" s="27">
        <v>2.2009851600916384</v>
      </c>
      <c r="S17" s="27"/>
    </row>
  </sheetData>
  <mergeCells count="2">
    <mergeCell ref="L1:M1"/>
    <mergeCell ref="K1:K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18"/>
  <sheetViews>
    <sheetView topLeftCell="C1" zoomScale="136" zoomScaleNormal="136" workbookViewId="0">
      <selection activeCell="L1" sqref="L1"/>
    </sheetView>
  </sheetViews>
  <sheetFormatPr defaultColWidth="9.109375" defaultRowHeight="14.4"/>
  <cols>
    <col min="11" max="11" width="4" style="4" customWidth="1"/>
    <col min="12" max="12" width="12" style="5" customWidth="1"/>
    <col min="13" max="13" width="13.6640625" style="5" customWidth="1"/>
    <col min="14" max="14" width="19.44140625" customWidth="1"/>
  </cols>
  <sheetData>
    <row r="1" spans="2:16" ht="46.8">
      <c r="K1" s="6" t="s">
        <v>8</v>
      </c>
      <c r="L1" s="7" t="s">
        <v>9</v>
      </c>
      <c r="M1" s="8" t="s">
        <v>10</v>
      </c>
    </row>
    <row r="2" spans="2:16" ht="23.4">
      <c r="K2" s="6">
        <v>1</v>
      </c>
      <c r="L2" s="7">
        <v>4.7</v>
      </c>
      <c r="M2" s="8">
        <v>3.7</v>
      </c>
      <c r="N2" s="44">
        <f>_xlfn.F.TEST(L2:L13,M2:M16)</f>
        <v>0.42615272329135845</v>
      </c>
      <c r="O2" s="46" t="s">
        <v>60</v>
      </c>
      <c r="P2" s="45">
        <v>0.05</v>
      </c>
    </row>
    <row r="3" spans="2:16" ht="15.6">
      <c r="K3" s="6">
        <v>2</v>
      </c>
      <c r="L3" s="7">
        <v>3.7</v>
      </c>
      <c r="M3" s="8">
        <v>4.0999999999999996</v>
      </c>
    </row>
    <row r="4" spans="2:16" ht="18">
      <c r="K4" s="6">
        <v>3</v>
      </c>
      <c r="L4" s="7">
        <v>3.2</v>
      </c>
      <c r="M4" s="8">
        <v>3.5</v>
      </c>
      <c r="N4" s="31" t="s">
        <v>61</v>
      </c>
    </row>
    <row r="5" spans="2:16" ht="18">
      <c r="K5" s="6">
        <v>4</v>
      </c>
      <c r="L5" s="7">
        <v>3.1</v>
      </c>
      <c r="M5" s="8">
        <v>5.5</v>
      </c>
      <c r="N5" s="47" t="s">
        <v>62</v>
      </c>
    </row>
    <row r="6" spans="2:16" ht="15.6">
      <c r="K6" s="6">
        <v>5</v>
      </c>
      <c r="L6" s="7">
        <v>3.9</v>
      </c>
      <c r="M6" s="8">
        <v>4.0999999999999996</v>
      </c>
    </row>
    <row r="7" spans="2:16" ht="15.6">
      <c r="K7" s="6">
        <v>6</v>
      </c>
      <c r="L7" s="7">
        <v>4.8</v>
      </c>
      <c r="M7" s="8">
        <v>4.7</v>
      </c>
    </row>
    <row r="8" spans="2:16" ht="15.6">
      <c r="K8" s="6">
        <v>7</v>
      </c>
      <c r="L8" s="7">
        <v>3.1</v>
      </c>
      <c r="M8" s="8">
        <v>4.9000000000000004</v>
      </c>
    </row>
    <row r="9" spans="2:16" ht="15.6">
      <c r="K9" s="6">
        <v>8</v>
      </c>
      <c r="L9" s="7">
        <v>5.0999999999999996</v>
      </c>
      <c r="M9" s="8">
        <v>3.5</v>
      </c>
    </row>
    <row r="10" spans="2:16" ht="21">
      <c r="B10" s="30" t="s">
        <v>58</v>
      </c>
      <c r="K10" s="6">
        <v>9</v>
      </c>
      <c r="L10" s="7">
        <v>4.9000000000000004</v>
      </c>
      <c r="M10" s="8">
        <v>3.9</v>
      </c>
    </row>
    <row r="11" spans="2:16" ht="15.6">
      <c r="B11" t="s">
        <v>25</v>
      </c>
      <c r="K11" s="6">
        <v>10</v>
      </c>
      <c r="L11" s="7">
        <v>4.5</v>
      </c>
      <c r="M11" s="8">
        <v>3.6</v>
      </c>
    </row>
    <row r="12" spans="2:16" ht="21">
      <c r="B12" s="30" t="s">
        <v>59</v>
      </c>
      <c r="K12" s="6">
        <v>11</v>
      </c>
      <c r="L12" s="7">
        <v>5.4</v>
      </c>
      <c r="M12" s="8">
        <v>4.5</v>
      </c>
    </row>
    <row r="13" spans="2:16" ht="15.6">
      <c r="K13" s="6">
        <v>12</v>
      </c>
      <c r="L13" s="7">
        <v>3.7</v>
      </c>
      <c r="M13" s="8">
        <v>5</v>
      </c>
    </row>
    <row r="14" spans="2:16" ht="15.6">
      <c r="K14" s="6">
        <v>13</v>
      </c>
      <c r="L14" s="9"/>
      <c r="M14" s="8">
        <v>4.8</v>
      </c>
    </row>
    <row r="15" spans="2:16" ht="15.6">
      <c r="K15" s="6">
        <v>14</v>
      </c>
      <c r="L15" s="9"/>
      <c r="M15" s="8">
        <v>5.2</v>
      </c>
    </row>
    <row r="16" spans="2:16" ht="15.6">
      <c r="K16" s="6">
        <v>15</v>
      </c>
      <c r="L16" s="9"/>
      <c r="M16" s="8">
        <v>4.8</v>
      </c>
    </row>
    <row r="17" spans="12:13" ht="18">
      <c r="L17" s="48">
        <f>VAR(L2:L13)</f>
        <v>0.67659090909090613</v>
      </c>
      <c r="M17" s="48">
        <f>VAR(M2:M16)</f>
        <v>0.43266666666667269</v>
      </c>
    </row>
    <row r="18" spans="12:13" ht="15.6">
      <c r="L18" s="49">
        <f>SQRT(L17)</f>
        <v>0.82255146288296521</v>
      </c>
      <c r="M18" s="49">
        <f t="shared" ref="M18" si="0">SQRT(M17)</f>
        <v>0.65777402401331775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topLeftCell="D3" zoomScale="140" zoomScaleNormal="140" workbookViewId="0">
      <selection activeCell="J8" sqref="J8"/>
    </sheetView>
  </sheetViews>
  <sheetFormatPr defaultColWidth="9.109375" defaultRowHeight="14.4"/>
  <cols>
    <col min="1" max="1" width="13.33203125" style="5" customWidth="1"/>
    <col min="2" max="2" width="17.5546875" customWidth="1"/>
    <col min="3" max="3" width="18" customWidth="1"/>
    <col min="4" max="4" width="23.44140625" customWidth="1"/>
    <col min="6" max="6" width="23.109375" customWidth="1"/>
  </cols>
  <sheetData>
    <row r="1" spans="1:14" ht="16.5" customHeight="1">
      <c r="F1" t="s">
        <v>63</v>
      </c>
      <c r="G1" s="62" t="s">
        <v>80</v>
      </c>
    </row>
    <row r="2" spans="1:14" ht="21" thickBot="1">
      <c r="A2" s="57" t="s">
        <v>11</v>
      </c>
      <c r="B2" s="50" t="s">
        <v>12</v>
      </c>
      <c r="C2" s="50" t="s">
        <v>13</v>
      </c>
      <c r="D2" s="50" t="s">
        <v>14</v>
      </c>
      <c r="G2" s="62" t="s">
        <v>79</v>
      </c>
    </row>
    <row r="3" spans="1:14" ht="21" thickBot="1">
      <c r="A3" s="57">
        <v>1</v>
      </c>
      <c r="B3" s="55">
        <v>7</v>
      </c>
      <c r="C3" s="51">
        <v>5</v>
      </c>
      <c r="D3" s="52">
        <v>2</v>
      </c>
      <c r="F3" t="s">
        <v>64</v>
      </c>
    </row>
    <row r="4" spans="1:14" ht="21" thickBot="1">
      <c r="A4" s="57">
        <v>2</v>
      </c>
      <c r="B4" s="55">
        <v>4</v>
      </c>
      <c r="C4" s="51">
        <v>5</v>
      </c>
      <c r="D4" s="52">
        <v>4</v>
      </c>
      <c r="F4" s="60" t="s">
        <v>65</v>
      </c>
      <c r="G4" s="60" t="s">
        <v>66</v>
      </c>
      <c r="H4" s="60" t="s">
        <v>67</v>
      </c>
      <c r="I4" s="60" t="s">
        <v>68</v>
      </c>
      <c r="J4" s="60" t="s">
        <v>34</v>
      </c>
    </row>
    <row r="5" spans="1:14" ht="18" customHeight="1" thickBot="1">
      <c r="A5" s="57">
        <v>3</v>
      </c>
      <c r="B5" s="55">
        <v>6</v>
      </c>
      <c r="C5" s="51">
        <v>3</v>
      </c>
      <c r="D5" s="52">
        <v>7</v>
      </c>
      <c r="F5" s="58" t="s">
        <v>12</v>
      </c>
      <c r="G5" s="58">
        <v>8</v>
      </c>
      <c r="H5" s="58">
        <v>48</v>
      </c>
      <c r="I5" s="64">
        <v>6</v>
      </c>
      <c r="J5" s="58">
        <v>4.8571428571428568</v>
      </c>
      <c r="L5" s="42" t="s">
        <v>83</v>
      </c>
      <c r="M5" s="42" t="s">
        <v>12</v>
      </c>
    </row>
    <row r="6" spans="1:14" ht="21" thickBot="1">
      <c r="A6" s="57">
        <v>4</v>
      </c>
      <c r="B6" s="55">
        <v>8</v>
      </c>
      <c r="C6" s="51">
        <v>4</v>
      </c>
      <c r="D6" s="52">
        <v>1</v>
      </c>
      <c r="F6" s="58" t="s">
        <v>13</v>
      </c>
      <c r="G6" s="58">
        <v>8</v>
      </c>
      <c r="H6" s="58">
        <v>32</v>
      </c>
      <c r="I6" s="64">
        <v>4</v>
      </c>
      <c r="J6" s="58">
        <v>2.8571428571428572</v>
      </c>
      <c r="L6" s="42" t="s">
        <v>84</v>
      </c>
      <c r="M6" s="42" t="s">
        <v>13</v>
      </c>
    </row>
    <row r="7" spans="1:14" ht="21" thickBot="1">
      <c r="A7" s="57">
        <v>5</v>
      </c>
      <c r="B7" s="55">
        <v>6</v>
      </c>
      <c r="C7" s="51">
        <v>4</v>
      </c>
      <c r="D7" s="52">
        <v>2</v>
      </c>
      <c r="F7" s="59" t="s">
        <v>14</v>
      </c>
      <c r="G7" s="59">
        <v>8</v>
      </c>
      <c r="H7" s="59">
        <v>27</v>
      </c>
      <c r="I7" s="65">
        <v>3.375</v>
      </c>
      <c r="J7" s="59">
        <v>4.8392857142857144</v>
      </c>
      <c r="L7" s="42" t="s">
        <v>85</v>
      </c>
      <c r="M7" s="42" t="s">
        <v>14</v>
      </c>
    </row>
    <row r="8" spans="1:14" ht="21" thickBot="1">
      <c r="A8" s="57">
        <v>6</v>
      </c>
      <c r="B8" s="55">
        <v>6</v>
      </c>
      <c r="C8" s="51">
        <v>7</v>
      </c>
      <c r="D8" s="52">
        <v>1</v>
      </c>
    </row>
    <row r="9" spans="1:14" ht="21" thickBot="1">
      <c r="A9" s="57">
        <v>7</v>
      </c>
      <c r="B9" s="55">
        <v>2</v>
      </c>
      <c r="C9" s="51">
        <v>2</v>
      </c>
      <c r="D9" s="52">
        <v>5</v>
      </c>
    </row>
    <row r="10" spans="1:14" ht="21" thickBot="1">
      <c r="A10" s="57">
        <v>8</v>
      </c>
      <c r="B10" s="56">
        <v>9</v>
      </c>
      <c r="C10" s="53">
        <v>2</v>
      </c>
      <c r="D10" s="54">
        <v>5</v>
      </c>
      <c r="F10" t="s">
        <v>69</v>
      </c>
    </row>
    <row r="11" spans="1:14" ht="21">
      <c r="B11" s="46">
        <f>SUM(B3:B10)</f>
        <v>48</v>
      </c>
      <c r="C11" s="46">
        <f t="shared" ref="C11:D11" si="0">SUM(C3:C10)</f>
        <v>32</v>
      </c>
      <c r="D11" s="46">
        <f t="shared" si="0"/>
        <v>27</v>
      </c>
      <c r="F11" s="60" t="s">
        <v>70</v>
      </c>
      <c r="G11" s="60" t="s">
        <v>71</v>
      </c>
      <c r="H11" s="60" t="s">
        <v>38</v>
      </c>
      <c r="I11" s="60" t="s">
        <v>72</v>
      </c>
      <c r="J11" s="60" t="s">
        <v>73</v>
      </c>
      <c r="K11" s="60" t="s">
        <v>74</v>
      </c>
      <c r="L11" s="60" t="s">
        <v>75</v>
      </c>
    </row>
    <row r="12" spans="1:14" ht="23.4">
      <c r="F12" s="58" t="s">
        <v>76</v>
      </c>
      <c r="G12" s="58">
        <v>30.083333333333314</v>
      </c>
      <c r="H12" s="58">
        <v>2</v>
      </c>
      <c r="I12" s="58">
        <v>15.041666666666657</v>
      </c>
      <c r="J12" s="58">
        <v>3.5945945945945925</v>
      </c>
      <c r="K12" s="61">
        <v>4.5439700366057732E-2</v>
      </c>
      <c r="L12" s="58">
        <v>3.4668001115424172</v>
      </c>
      <c r="M12" s="32" t="s">
        <v>28</v>
      </c>
      <c r="N12" s="26">
        <v>0.05</v>
      </c>
    </row>
    <row r="13" spans="1:14">
      <c r="F13" s="58" t="s">
        <v>77</v>
      </c>
      <c r="G13" s="58">
        <v>87.875</v>
      </c>
      <c r="H13" s="58">
        <v>21</v>
      </c>
      <c r="I13" s="58">
        <v>4.1845238095238093</v>
      </c>
      <c r="J13" s="58"/>
      <c r="K13" s="58"/>
      <c r="L13" s="58"/>
    </row>
    <row r="14" spans="1:14" ht="15.6">
      <c r="F14" s="58"/>
      <c r="G14" s="58"/>
      <c r="H14" s="58"/>
      <c r="I14" s="58"/>
      <c r="J14" s="58"/>
      <c r="K14" s="63" t="s">
        <v>81</v>
      </c>
      <c r="L14" s="58"/>
    </row>
    <row r="15" spans="1:14" ht="15" thickBot="1">
      <c r="F15" s="59" t="s">
        <v>78</v>
      </c>
      <c r="G15" s="59">
        <v>117.95833333333331</v>
      </c>
      <c r="H15" s="59">
        <v>23</v>
      </c>
      <c r="I15" s="59"/>
      <c r="J15" s="59"/>
      <c r="K15" s="59"/>
      <c r="L15" s="59"/>
    </row>
    <row r="17" spans="6:10" ht="15.6">
      <c r="F17" s="43" t="s">
        <v>82</v>
      </c>
      <c r="G17" s="43"/>
      <c r="H17" s="43"/>
      <c r="I17" s="43"/>
      <c r="J17" s="4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6"/>
  <sheetViews>
    <sheetView tabSelected="1" topLeftCell="A3" workbookViewId="0">
      <selection activeCell="H14" sqref="H14"/>
    </sheetView>
  </sheetViews>
  <sheetFormatPr defaultColWidth="9.109375" defaultRowHeight="14.4"/>
  <cols>
    <col min="1" max="1" width="11.44140625" customWidth="1"/>
    <col min="2" max="2" width="20" customWidth="1"/>
    <col min="3" max="3" width="16.109375" customWidth="1"/>
    <col min="4" max="4" width="19.33203125" customWidth="1"/>
    <col min="7" max="7" width="24" customWidth="1"/>
    <col min="8" max="8" width="25.33203125" customWidth="1"/>
    <col min="9" max="10" width="17.77734375" bestFit="1" customWidth="1"/>
  </cols>
  <sheetData>
    <row r="2" spans="1:11" ht="15" customHeight="1">
      <c r="G2" s="30" t="s">
        <v>89</v>
      </c>
    </row>
    <row r="3" spans="1:11" ht="21">
      <c r="G3" s="30" t="s">
        <v>90</v>
      </c>
    </row>
    <row r="5" spans="1:11" ht="21">
      <c r="G5" s="30"/>
      <c r="H5" s="30"/>
    </row>
    <row r="6" spans="1:11" ht="21.6" thickBot="1">
      <c r="B6" s="30" t="s">
        <v>86</v>
      </c>
      <c r="G6" s="33"/>
      <c r="H6" s="33" t="s">
        <v>87</v>
      </c>
    </row>
    <row r="7" spans="1:11" ht="21" thickBot="1">
      <c r="A7" s="66" t="s">
        <v>15</v>
      </c>
      <c r="B7" s="67" t="s">
        <v>16</v>
      </c>
      <c r="C7" s="67"/>
      <c r="D7" s="67"/>
      <c r="E7" s="40" t="s">
        <v>17</v>
      </c>
      <c r="G7" s="66" t="s">
        <v>15</v>
      </c>
      <c r="H7" s="67" t="s">
        <v>16</v>
      </c>
      <c r="I7" s="67"/>
      <c r="J7" s="67"/>
      <c r="K7" s="40" t="s">
        <v>17</v>
      </c>
    </row>
    <row r="8" spans="1:11" ht="41.4" thickBot="1">
      <c r="A8" s="68"/>
      <c r="B8" s="69" t="s">
        <v>18</v>
      </c>
      <c r="C8" s="69" t="s">
        <v>19</v>
      </c>
      <c r="D8" s="69" t="s">
        <v>20</v>
      </c>
      <c r="E8" s="41"/>
      <c r="G8" s="68"/>
      <c r="H8" s="69" t="s">
        <v>18</v>
      </c>
      <c r="I8" s="69" t="s">
        <v>19</v>
      </c>
      <c r="J8" s="69" t="s">
        <v>20</v>
      </c>
      <c r="K8" s="41"/>
    </row>
    <row r="9" spans="1:11" ht="21" thickBot="1">
      <c r="A9" s="69" t="s">
        <v>21</v>
      </c>
      <c r="B9" s="69">
        <v>100</v>
      </c>
      <c r="C9" s="69">
        <v>120</v>
      </c>
      <c r="D9" s="69">
        <v>60</v>
      </c>
      <c r="E9" s="2">
        <v>280</v>
      </c>
      <c r="G9" s="69" t="s">
        <v>21</v>
      </c>
      <c r="H9" s="70">
        <f>280*450/920</f>
        <v>136.95652173913044</v>
      </c>
      <c r="I9" s="71">
        <f>280*320/920</f>
        <v>97.391304347826093</v>
      </c>
      <c r="J9" s="72">
        <f>280*150/920</f>
        <v>45.652173913043477</v>
      </c>
      <c r="K9" s="2"/>
    </row>
    <row r="10" spans="1:11" ht="21" thickBot="1">
      <c r="A10" s="69" t="s">
        <v>22</v>
      </c>
      <c r="B10" s="69">
        <v>350</v>
      </c>
      <c r="C10" s="69">
        <v>200</v>
      </c>
      <c r="D10" s="69">
        <v>90</v>
      </c>
      <c r="E10" s="2">
        <v>640</v>
      </c>
      <c r="G10" s="69" t="s">
        <v>22</v>
      </c>
      <c r="H10" s="71">
        <f>640*450/920</f>
        <v>313.04347826086956</v>
      </c>
      <c r="I10" s="69">
        <f>640*320/920</f>
        <v>222.60869565217391</v>
      </c>
      <c r="J10" s="73">
        <f>640*150/920</f>
        <v>104.34782608695652</v>
      </c>
      <c r="K10" s="2"/>
    </row>
    <row r="11" spans="1:11" ht="41.4" thickBot="1">
      <c r="A11" s="2" t="s">
        <v>23</v>
      </c>
      <c r="B11" s="2">
        <v>450</v>
      </c>
      <c r="C11" s="2">
        <v>320</v>
      </c>
      <c r="D11" s="2">
        <v>150</v>
      </c>
      <c r="E11" s="3">
        <v>920</v>
      </c>
      <c r="G11" s="2" t="s">
        <v>23</v>
      </c>
      <c r="H11" s="74"/>
      <c r="I11" s="2"/>
      <c r="J11" s="2"/>
      <c r="K11" s="3"/>
    </row>
    <row r="14" spans="1:11" ht="25.8">
      <c r="G14" s="76">
        <f>_xlfn.CHISQ.TEST(B9:D10,H9:J10)</f>
        <v>6.9382117170577481E-7</v>
      </c>
      <c r="H14" s="77" t="s">
        <v>88</v>
      </c>
      <c r="I14" s="77">
        <v>0.05</v>
      </c>
    </row>
    <row r="15" spans="1:11" ht="23.4">
      <c r="G15" s="75">
        <v>6.9382099999999998E-7</v>
      </c>
    </row>
    <row r="16" spans="1:11" ht="23.4">
      <c r="G16" s="75" t="s">
        <v>81</v>
      </c>
      <c r="H16" s="33" t="s">
        <v>91</v>
      </c>
    </row>
  </sheetData>
  <mergeCells count="6">
    <mergeCell ref="K7:K8"/>
    <mergeCell ref="B7:D7"/>
    <mergeCell ref="A7:A8"/>
    <mergeCell ref="E7:E8"/>
    <mergeCell ref="G7:G8"/>
    <mergeCell ref="H7:J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One_Sample_T_Test</vt:lpstr>
      <vt:lpstr>Two_Sample_T_Test</vt:lpstr>
      <vt:lpstr>Paired_T_Test</vt:lpstr>
      <vt:lpstr>F_Test</vt:lpstr>
      <vt:lpstr>ANOVA</vt:lpstr>
      <vt:lpstr>Chi_Squared_Test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Chintamani</dc:creator>
  <cp:lastModifiedBy>Chintamani Kasture</cp:lastModifiedBy>
  <dcterms:created xsi:type="dcterms:W3CDTF">2025-07-21T09:59:00Z</dcterms:created>
  <dcterms:modified xsi:type="dcterms:W3CDTF">2025-11-07T15:27:59Z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B25CB76DB4474CE2BB274FD962F2630E_12</vt:lpwstr>
  </property>
  <property fmtid="{D5CDD505-2E9C-101B-9397-08002B2CF9AE}" pid="3" name="KSOProductBuildVer">
    <vt:lpwstr>1033-12.2.0.23131</vt:lpwstr>
  </property>
</Properties>
</file>